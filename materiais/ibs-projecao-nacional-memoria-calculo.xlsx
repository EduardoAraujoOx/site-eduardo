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3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R$ 111.4 bi em 2029 a R$ 1,213.2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R$ 1,213.2 bi (8.12%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CGIBS (art. 51 LC 227/2026) e do Seguro-Receita (5%, ADCT art. 132).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2026-08-12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512501165557.69</v>
      </c>
      <c r="C11" s="8" t="n">
        <v>72575738376.57001</v>
      </c>
      <c r="D11" s="8" t="n">
        <v>11699003388.68</v>
      </c>
      <c r="E11" s="9">
        <f>B11+C11+D11</f>
        <v/>
      </c>
      <c r="F11" s="8" t="n">
        <v>830429996370.55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525280463571.25</v>
      </c>
      <c r="C12" s="8" t="n">
        <v>72939656553.14</v>
      </c>
      <c r="D12" s="8" t="n">
        <v>12775546215.27</v>
      </c>
      <c r="E12" s="9">
        <f>B12+C12+D12</f>
        <v/>
      </c>
      <c r="F12" s="8" t="n">
        <v>813469963677.64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655213422197.4301</v>
      </c>
      <c r="C13" s="8" t="n">
        <v>90315695421.34</v>
      </c>
      <c r="D13" s="8" t="n">
        <v>15797405283.66</v>
      </c>
      <c r="E13" s="9">
        <f>B13+C13+D13</f>
        <v/>
      </c>
      <c r="F13" s="8" t="n">
        <v>920959815188.4399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694424706419.7</v>
      </c>
      <c r="C14" s="8" t="n">
        <v>105738689405.94</v>
      </c>
      <c r="D14" s="8" t="n">
        <v>14732300782.29</v>
      </c>
      <c r="E14" s="9">
        <f>B14+C14+D14</f>
        <v/>
      </c>
      <c r="F14" s="8" t="n">
        <v>931854922371.98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708531573094.66</v>
      </c>
      <c r="C15" s="8" t="n">
        <v>120982841687.58</v>
      </c>
      <c r="D15" s="8" t="n">
        <v>12037722674.32</v>
      </c>
      <c r="E15" s="9">
        <f>B15+C15+D15</f>
        <v/>
      </c>
      <c r="F15" s="8" t="n">
        <v>919830840972.45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814527574371.58</v>
      </c>
      <c r="C16" s="8" t="n">
        <v>139810741117.97</v>
      </c>
      <c r="D16" s="8" t="n">
        <v>13618393510.28</v>
      </c>
      <c r="E16" s="9">
        <f>B16+C16+D16</f>
        <v/>
      </c>
      <c r="F16" s="8" t="n">
        <v>1009234108781.18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875783701718.08</v>
      </c>
      <c r="C17" s="8" t="n">
        <v>153789986855.54</v>
      </c>
      <c r="D17" s="8" t="n">
        <v>13981757501.54</v>
      </c>
      <c r="E17" s="9">
        <f>B17+C17+D17</f>
        <v/>
      </c>
      <c r="F17" s="8" t="n">
        <v>1043555446075.16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1032976269845.68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CGIBS e Seguro-Receita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G14*(1-B24)*C24</f>
        <v/>
      </c>
      <c r="G24" s="9">
        <f>G14*(1-B24)*(1-C24)*D24</f>
        <v/>
      </c>
      <c r="H24" s="9">
        <f>G14*(1-B24)*(1-C24)*(1-D24)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G15*(1-B25)*C25</f>
        <v/>
      </c>
      <c r="G25" s="9">
        <f>G15*(1-B25)*(1-C25)*D25</f>
        <v/>
      </c>
      <c r="H25" s="9">
        <f>G15*(1-B25)*(1-C25)*(1-D25)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G16*(1-B26)*C26</f>
        <v/>
      </c>
      <c r="G26" s="9">
        <f>G16*(1-B26)*(1-C26)*D26</f>
        <v/>
      </c>
      <c r="H26" s="9">
        <f>G16*(1-B26)*(1-C26)*(1-D26)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G17*(1-B27)*C27</f>
        <v/>
      </c>
      <c r="G27" s="9">
        <f>G17*(1-B27)*(1-C27)*D27</f>
        <v/>
      </c>
      <c r="H27" s="9">
        <f>G17*(1-B27)*(1-C27)*(1-D27)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0.005</v>
      </c>
      <c r="D28" s="18" t="n">
        <v>0.05</v>
      </c>
      <c r="E28" s="9">
        <f>G18*B28</f>
        <v/>
      </c>
      <c r="F28" s="9">
        <f>G18*(1-B28)*C28</f>
        <v/>
      </c>
      <c r="G28" s="9">
        <f>G18*(1-B28)*(1-C28)*D28</f>
        <v/>
      </c>
      <c r="H28" s="9">
        <f>G18*(1-B28)*(1-C28)*(1-D28)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c_a (CGIBS, art. 51 LC 227/2026) e rho=5% (Seguro-Receita, ADCT art. 132).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2026-08-12T10:36:58Z</dcterms:created>
  <dcterms:modified xsi:type="dcterms:W3CDTF">2026-08-12T10:36:58Z</dcterms:modified>
</cp:coreProperties>
</file>