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5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9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(2015-2025)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R$ 130.6 bi em 2029 a R$ 1,608.6 bi em 2033 (valores nominais).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R$ 1,608.6 bi (8.08%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RREO Anexo 3 (2015-2018) e DCA Anexo I-C (2019-2025).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(2015-2025).</t>
        </is>
      </c>
    </row>
    <row r="14" ht="30" customHeight="1">
      <c r="A14" s="3" t="inlineStr">
        <is>
          <t>Base legal da transição</t>
        </is>
      </c>
      <c r="B14" s="4" t="inlineStr">
        <is>
          <t>ADCT arts. 128, 130 e 131 (EC 132/2023); LC 227/2026, art. 51 (CGIBS); ADCT art. 132 (Seguro-Receita).</t>
        </is>
      </c>
    </row>
    <row r="15" ht="30" customHeight="1">
      <c r="A15" s="3" t="inlineStr">
        <is>
          <t>Cronograma f_a/s_a</t>
        </is>
      </c>
      <c r="B15" s="4" t="inlineStr">
        <is>
          <t>Fração remanescente de ICMS/ISS (f_a) e fração já convertida em IBS (s_a=1-f_a) a cada ano da transição, conforme ADCT arts. 128 e 131.</t>
        </is>
      </c>
    </row>
    <row r="16" ht="30" customHeight="1">
      <c r="A16" s="3" t="inlineStr">
        <is>
          <t>O que este arquivo mostra</t>
        </is>
      </c>
      <c r="B16" s="4" t="inlineStr">
        <is>
          <t>Aba 'Série histórica': dados de entrada SICONFI 2015-2025. Aba 'Premissas macro': dados de entrada Focus/IFI 2026-2033. Aba 'PIB projetado': fórmulas que compõem o PIB nominal ano a ano. Aba 'Projeção IBS': fórmulas que aplicam a carga tributária constante e o cronograma ADCT. Mude qualquer premissa nas abas de entrada (em azul) e a projeção recalcula.</t>
        </is>
      </c>
    </row>
    <row r="17" ht="30" customHeight="1">
      <c r="A17" s="3" t="inlineStr">
        <is>
          <t>Gerado em</t>
        </is>
      </c>
      <c r="B17" s="4" t="inlineStr">
        <is>
          <t>2026-07-31</t>
        </is>
      </c>
    </row>
    <row r="18" ht="30" customHeight="1">
      <c r="A18" s="3" t="inlineStr">
        <is>
          <t>Página do estudo</t>
        </is>
      </c>
      <c r="B18" s="4" t="inlineStr">
        <is>
          <t>https://www.eduardoreisaraujo.com.br/estudos/ibs-projecao-nacional.html</t>
        </is>
      </c>
    </row>
  </sheetData>
  <mergeCells count="17">
    <mergeCell ref="B4:F4"/>
    <mergeCell ref="A2:F2"/>
    <mergeCell ref="B12:F12"/>
    <mergeCell ref="B7:F7"/>
    <mergeCell ref="B6:F6"/>
    <mergeCell ref="B16:F16"/>
    <mergeCell ref="B15:F15"/>
    <mergeCell ref="B10:F10"/>
    <mergeCell ref="A1:F1"/>
    <mergeCell ref="B11:F11"/>
    <mergeCell ref="B18:F18"/>
    <mergeCell ref="B5:F5"/>
    <mergeCell ref="B14:F14"/>
    <mergeCell ref="B8:F8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2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ICMS + ISS, Brasil: série histórica 2015-2025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ICMS+ISS nominal (R$)</t>
        </is>
      </c>
      <c r="E4" s="6" t="inlineStr">
        <is>
          <t>ICMS+ISS real, 2025 (R$)</t>
        </is>
      </c>
      <c r="F4" s="6" t="inlineStr">
        <is>
          <t>PIB nominal (R$)</t>
        </is>
      </c>
      <c r="G4" s="6" t="inlineStr">
        <is>
          <t>ICMS+ISS / PIB</t>
        </is>
      </c>
      <c r="H4" s="6" t="inlineStr">
        <is>
          <t>Fonte ICMS</t>
        </is>
      </c>
    </row>
    <row r="5">
      <c r="A5" s="7" t="n">
        <v>2015</v>
      </c>
      <c r="B5" s="8" t="n">
        <v>388869449010.67</v>
      </c>
      <c r="C5" s="8" t="n">
        <v>52456331446.13</v>
      </c>
      <c r="D5" s="9">
        <f>B5+C5</f>
        <v/>
      </c>
      <c r="E5" s="8" t="n">
        <v>727158904358.71</v>
      </c>
      <c r="F5" s="8" t="n">
        <v>5995786999726.3</v>
      </c>
      <c r="G5" s="10">
        <f>D5/F5</f>
        <v/>
      </c>
      <c r="H5" s="11" t="inlineStr">
        <is>
          <t>RREO</t>
        </is>
      </c>
    </row>
    <row r="6">
      <c r="A6" s="7" t="n">
        <v>2016</v>
      </c>
      <c r="B6" s="8" t="n">
        <v>405053833169.79</v>
      </c>
      <c r="C6" s="8" t="n">
        <v>52326423881.55</v>
      </c>
      <c r="D6" s="9">
        <f>B6+C6</f>
        <v/>
      </c>
      <c r="E6" s="8" t="n">
        <v>709027341688.51</v>
      </c>
      <c r="F6" s="8" t="n">
        <v>6269328000659.18</v>
      </c>
      <c r="G6" s="10">
        <f>D6/F6</f>
        <v/>
      </c>
      <c r="H6" s="11" t="inlineStr">
        <is>
          <t>RREO</t>
        </is>
      </c>
    </row>
    <row r="7">
      <c r="A7" s="7" t="n">
        <v>2017</v>
      </c>
      <c r="B7" s="8" t="n">
        <v>431643439193.84</v>
      </c>
      <c r="C7" s="8" t="n">
        <v>54880868786.6</v>
      </c>
      <c r="D7" s="9">
        <f>B7+C7</f>
        <v/>
      </c>
      <c r="E7" s="8" t="n">
        <v>732613539836.0601</v>
      </c>
      <c r="F7" s="8" t="n">
        <v>6585479000139.78</v>
      </c>
      <c r="G7" s="10">
        <f>D7/F7</f>
        <v/>
      </c>
      <c r="H7" s="11" t="inlineStr">
        <is>
          <t>RREO</t>
        </is>
      </c>
    </row>
    <row r="8">
      <c r="A8" s="7" t="n">
        <v>2018</v>
      </c>
      <c r="B8" s="8" t="n">
        <v>470938284813.26</v>
      </c>
      <c r="C8" s="8" t="n">
        <v>62298307526.46</v>
      </c>
      <c r="D8" s="9">
        <f>B8+C8</f>
        <v/>
      </c>
      <c r="E8" s="8" t="n">
        <v>773964691287.3</v>
      </c>
      <c r="F8" s="8" t="n">
        <v>7004140999893.37</v>
      </c>
      <c r="G8" s="10">
        <f>D8/F8</f>
        <v/>
      </c>
      <c r="H8" s="11" t="inlineStr">
        <is>
          <t>RREO</t>
        </is>
      </c>
    </row>
    <row r="9">
      <c r="A9" s="7" t="n">
        <v>2019</v>
      </c>
      <c r="B9" s="8" t="n">
        <v>512501165557.69</v>
      </c>
      <c r="C9" s="8" t="n">
        <v>72575738376.57001</v>
      </c>
      <c r="D9" s="9">
        <f>B9+C9</f>
        <v/>
      </c>
      <c r="E9" s="8" t="n">
        <v>814150513197.0699</v>
      </c>
      <c r="F9" s="8" t="n">
        <v>7389130999453.28</v>
      </c>
      <c r="G9" s="10">
        <f>D9/F9</f>
        <v/>
      </c>
      <c r="H9" s="11" t="inlineStr">
        <is>
          <t>DCA</t>
        </is>
      </c>
    </row>
    <row r="10">
      <c r="A10" s="7" t="n">
        <v>2020</v>
      </c>
      <c r="B10" s="8" t="n">
        <v>525280463571.25</v>
      </c>
      <c r="C10" s="8" t="n">
        <v>72939656553.14</v>
      </c>
      <c r="D10" s="9">
        <f>B10+C10</f>
        <v/>
      </c>
      <c r="E10" s="8" t="n">
        <v>796460803566.97</v>
      </c>
      <c r="F10" s="8" t="n">
        <v>7609597000575.82</v>
      </c>
      <c r="G10" s="10">
        <f>D10/F10</f>
        <v/>
      </c>
      <c r="H10" s="11" t="inlineStr">
        <is>
          <t>DCA</t>
        </is>
      </c>
    </row>
    <row r="11">
      <c r="A11" s="7" t="n">
        <v>2021</v>
      </c>
      <c r="B11" s="8" t="n">
        <v>655213422197.4301</v>
      </c>
      <c r="C11" s="8" t="n">
        <v>90315695421.34</v>
      </c>
      <c r="D11" s="9">
        <f>B11+C11</f>
        <v/>
      </c>
      <c r="E11" s="8" t="n">
        <v>901850044265.15</v>
      </c>
      <c r="F11" s="8" t="n">
        <v>9012141999284.48</v>
      </c>
      <c r="G11" s="10">
        <f>D11/F11</f>
        <v/>
      </c>
      <c r="H11" s="11" t="inlineStr">
        <is>
          <t>DCA</t>
        </is>
      </c>
    </row>
    <row r="12">
      <c r="A12" s="7" t="n">
        <v>2022</v>
      </c>
      <c r="B12" s="8" t="n">
        <v>694424706419.7</v>
      </c>
      <c r="C12" s="8" t="n">
        <v>105738689405.94</v>
      </c>
      <c r="D12" s="9">
        <f>B12+C12</f>
        <v/>
      </c>
      <c r="E12" s="8" t="n">
        <v>915008144239.53</v>
      </c>
      <c r="F12" s="8" t="n">
        <v>10079676679176</v>
      </c>
      <c r="G12" s="10">
        <f>D12/F12</f>
        <v/>
      </c>
      <c r="H12" s="11" t="inlineStr">
        <is>
          <t>DCA</t>
        </is>
      </c>
    </row>
    <row r="13">
      <c r="A13" s="7" t="n">
        <v>2023</v>
      </c>
      <c r="B13" s="8" t="n">
        <v>708531573094.66</v>
      </c>
      <c r="C13" s="8" t="n">
        <v>120982841687.58</v>
      </c>
      <c r="D13" s="9">
        <f>B13+C13</f>
        <v/>
      </c>
      <c r="E13" s="8" t="n">
        <v>906673404756.58</v>
      </c>
      <c r="F13" s="8" t="n">
        <v>10943344667905</v>
      </c>
      <c r="G13" s="10">
        <f>D13/F13</f>
        <v/>
      </c>
      <c r="H13" s="11" t="inlineStr">
        <is>
          <t>DCA</t>
        </is>
      </c>
    </row>
    <row r="14">
      <c r="A14" s="7" t="n">
        <v>2024</v>
      </c>
      <c r="B14" s="8" t="n">
        <v>814527574371.58</v>
      </c>
      <c r="C14" s="8" t="n">
        <v>139810741117.97</v>
      </c>
      <c r="D14" s="9">
        <f>B14+C14</f>
        <v/>
      </c>
      <c r="E14" s="8" t="n">
        <v>995034974553.8</v>
      </c>
      <c r="F14" s="8" t="n">
        <v>11779250581628.3</v>
      </c>
      <c r="G14" s="10">
        <f>D14/F14</f>
        <v/>
      </c>
      <c r="H14" s="11" t="inlineStr">
        <is>
          <t>DCA</t>
        </is>
      </c>
    </row>
    <row r="15">
      <c r="A15" s="7" t="n">
        <v>2025</v>
      </c>
      <c r="B15" s="8" t="n">
        <v>875783701718.08</v>
      </c>
      <c r="C15" s="8" t="n">
        <v>153789986855.54</v>
      </c>
      <c r="D15" s="9">
        <f>B15+C15</f>
        <v/>
      </c>
      <c r="E15" s="8" t="n">
        <v>1029573688573.62</v>
      </c>
      <c r="F15" s="8" t="n">
        <v>12738565613881.1</v>
      </c>
      <c r="G15" s="10">
        <f>D15/F15</f>
        <v/>
      </c>
      <c r="H15" s="11" t="inlineStr">
        <is>
          <t>DCA</t>
        </is>
      </c>
    </row>
    <row r="17" ht="40" customHeight="1">
      <c r="A17" s="12" t="inlineStr">
        <is>
          <t>ICMS 2015-2018: SICONFI/STN, RREO Anexo 3 (conta ICMSLiquidoExcetoTransferenciasEFUNDEB, coluna "TOTAL últimos 12 meses"). ICMS 2019-2025 e ISS 2015-2025: SICONFI/STN, DCA Anexo I-C. Fontes RREO e DCA convergem para o ICMS (diferença &lt; 1%).</t>
        </is>
      </c>
    </row>
  </sheetData>
  <mergeCells count="3">
    <mergeCell ref="A2:F2"/>
    <mergeCell ref="A1:F1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0.0199</v>
      </c>
      <c r="C5" s="13" t="n">
        <v>0.0512</v>
      </c>
      <c r="D5" s="11" t="inlineStr">
        <is>
          <t>Focus (BCB), mediana</t>
        </is>
      </c>
    </row>
    <row r="6">
      <c r="A6" s="7" t="n">
        <v>2027</v>
      </c>
      <c r="B6" s="13" t="n">
        <v>0.016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nominal projetado, 2025-2033</t>
        </is>
      </c>
    </row>
    <row r="2">
      <c r="A2" s="2" t="inlineStr">
        <is>
          <t>Fórmulas: PIB(t) = PIB(t-1) × (1 + PIB real) × (1 + IPCA)</t>
        </is>
      </c>
    </row>
    <row r="4">
      <c r="A4" s="6" t="inlineStr">
        <is>
          <t>Ano</t>
        </is>
      </c>
      <c r="B4" s="6" t="inlineStr">
        <is>
          <t>PIB nominal (R$)</t>
        </is>
      </c>
      <c r="C4" s="6" t="inlineStr">
        <is>
          <t>Crescimento nominal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2026-2033'!B5)*(1+'Premissas macro 2026-2033'!C5)</f>
        <v/>
      </c>
      <c r="C6" s="10">
        <f>B6/B5-1</f>
        <v/>
      </c>
    </row>
    <row r="7">
      <c r="A7" s="15" t="n">
        <v>2027</v>
      </c>
      <c r="B7" s="9">
        <f>B6*(1+'Premissas macro 2026-2033'!B6)*(1+'Premissas macro 2026-2033'!C6)</f>
        <v/>
      </c>
      <c r="C7" s="10">
        <f>B7/B6-1</f>
        <v/>
      </c>
    </row>
    <row r="8">
      <c r="A8" s="15" t="n">
        <v>2028</v>
      </c>
      <c r="B8" s="9">
        <f>B7*(1+'Premissas macro 2026-2033'!B7)*(1+'Premissas macro 2026-2033'!C7)</f>
        <v/>
      </c>
      <c r="C8" s="10">
        <f>B8/B7-1</f>
        <v/>
      </c>
    </row>
    <row r="9">
      <c r="A9" s="15" t="n">
        <v>2029</v>
      </c>
      <c r="B9" s="9">
        <f>B8*(1+'Premissas macro 2026-2033'!B8)*(1+'Premissas macro 2026-2033'!C8)</f>
        <v/>
      </c>
      <c r="C9" s="10">
        <f>B9/B8-1</f>
        <v/>
      </c>
    </row>
    <row r="10">
      <c r="A10" s="15" t="n">
        <v>2030</v>
      </c>
      <c r="B10" s="9">
        <f>B9*(1+'Premissas macro 2026-2033'!B9)*(1+'Premissas macro 2026-2033'!C9)</f>
        <v/>
      </c>
      <c r="C10" s="10">
        <f>B10/B9-1</f>
        <v/>
      </c>
    </row>
    <row r="11">
      <c r="A11" s="15" t="n">
        <v>2031</v>
      </c>
      <c r="B11" s="9">
        <f>B10*(1+'Premissas macro 2026-2033'!B10)*(1+'Premissas macro 2026-2033'!C10)</f>
        <v/>
      </c>
      <c r="C11" s="10">
        <f>B11/B10-1</f>
        <v/>
      </c>
    </row>
    <row r="12">
      <c r="A12" s="15" t="n">
        <v>2032</v>
      </c>
      <c r="B12" s="9">
        <f>B11*(1+'Premissas macro 2026-2033'!B11)*(1+'Premissas macro 2026-2033'!C11)</f>
        <v/>
      </c>
      <c r="C12" s="10">
        <f>B12/B11-1</f>
        <v/>
      </c>
    </row>
    <row r="13">
      <c r="A13" s="15" t="n">
        <v>2033</v>
      </c>
      <c r="B13" s="9">
        <f>B12*(1+'Premissas macro 2026-2033'!B12)*(1+'Premissas macro 2026-2033'!C12)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(Receita2025/PIB2025) × PIB(t); ICMS+ISS residual = Receita × fa; IBS bruto = Receita × sa</t>
        </is>
      </c>
    </row>
    <row r="4">
      <c r="A4" s="3" t="inlineStr">
        <is>
          <t>Carga tributária (arrecadação/PIB) em 2025, base da projeção:</t>
        </is>
      </c>
      <c r="B4" s="16">
        <f>'Série histórica 2015-2025'!D15/'Série histórica 2015-2025'!F15</f>
        <v/>
      </c>
    </row>
    <row r="6">
      <c r="A6" s="6" t="inlineStr">
        <is>
          <t>Ano</t>
        </is>
      </c>
      <c r="B6" s="6" t="inlineStr">
        <is>
          <t>f_a (ICMS+ISS residual)</t>
        </is>
      </c>
      <c r="C6" s="6" t="inlineStr">
        <is>
          <t>s_a (IBS)</t>
        </is>
      </c>
      <c r="D6" s="6" t="inlineStr">
        <is>
          <t>PIB nominal (R$)</t>
        </is>
      </c>
      <c r="E6" s="6" t="inlineStr">
        <is>
          <t>Receita projetada (R$)</t>
        </is>
      </c>
      <c r="F6" s="6" t="inlineStr">
        <is>
          <t>ICMS+ISS residual (R$)</t>
        </is>
      </c>
      <c r="G6" s="6" t="inlineStr">
        <is>
          <t>IBS bruto (R$)</t>
        </is>
      </c>
      <c r="H6" s="6" t="inlineStr">
        <is>
          <t>Carga tributária (% PIB)</t>
        </is>
      </c>
    </row>
    <row r="7">
      <c r="A7" s="15" t="n">
        <v>2029</v>
      </c>
      <c r="B7" s="17" t="n">
        <v>0.9</v>
      </c>
      <c r="C7" s="10">
        <f>1-B7</f>
        <v/>
      </c>
      <c r="D7" s="9">
        <f>'PIB projetado'!B9</f>
        <v/>
      </c>
      <c r="E7" s="9">
        <f>$B$4*D7</f>
        <v/>
      </c>
      <c r="F7" s="9">
        <f>E7*B7</f>
        <v/>
      </c>
      <c r="G7" s="9">
        <f>E7*C7</f>
        <v/>
      </c>
      <c r="H7" s="10">
        <f>E7/D7</f>
        <v/>
      </c>
    </row>
    <row r="8">
      <c r="A8" s="15" t="n">
        <v>2030</v>
      </c>
      <c r="B8" s="17" t="n">
        <v>0.8</v>
      </c>
      <c r="C8" s="10">
        <f>1-B8</f>
        <v/>
      </c>
      <c r="D8" s="9">
        <f>'PIB projetado'!B10</f>
        <v/>
      </c>
      <c r="E8" s="9">
        <f>$B$4*D8</f>
        <v/>
      </c>
      <c r="F8" s="9">
        <f>E8*B8</f>
        <v/>
      </c>
      <c r="G8" s="9">
        <f>E8*C8</f>
        <v/>
      </c>
      <c r="H8" s="10">
        <f>E8/D8</f>
        <v/>
      </c>
    </row>
    <row r="9">
      <c r="A9" s="15" t="n">
        <v>2031</v>
      </c>
      <c r="B9" s="17" t="n">
        <v>0.7</v>
      </c>
      <c r="C9" s="10">
        <f>1-B9</f>
        <v/>
      </c>
      <c r="D9" s="9">
        <f>'PIB projetado'!B11</f>
        <v/>
      </c>
      <c r="E9" s="9">
        <f>$B$4*D9</f>
        <v/>
      </c>
      <c r="F9" s="9">
        <f>E9*B9</f>
        <v/>
      </c>
      <c r="G9" s="9">
        <f>E9*C9</f>
        <v/>
      </c>
      <c r="H9" s="10">
        <f>E9/D9</f>
        <v/>
      </c>
    </row>
    <row r="10">
      <c r="A10" s="15" t="n">
        <v>2032</v>
      </c>
      <c r="B10" s="17" t="n">
        <v>0.6</v>
      </c>
      <c r="C10" s="10">
        <f>1-B10</f>
        <v/>
      </c>
      <c r="D10" s="9">
        <f>'PIB projetado'!B12</f>
        <v/>
      </c>
      <c r="E10" s="9">
        <f>$B$4*D10</f>
        <v/>
      </c>
      <c r="F10" s="9">
        <f>E10*B10</f>
        <v/>
      </c>
      <c r="G10" s="9">
        <f>E10*C10</f>
        <v/>
      </c>
      <c r="H10" s="10">
        <f>E10/D10</f>
        <v/>
      </c>
    </row>
    <row r="11">
      <c r="A11" s="15" t="n">
        <v>2033</v>
      </c>
      <c r="B11" s="17" t="n">
        <v>0</v>
      </c>
      <c r="C11" s="10">
        <f>1-B11</f>
        <v/>
      </c>
      <c r="D11" s="9">
        <f>'PIB projetado'!B13</f>
        <v/>
      </c>
      <c r="E11" s="9">
        <f>$B$4*D11</f>
        <v/>
      </c>
      <c r="F11" s="9">
        <f>E11*B11</f>
        <v/>
      </c>
      <c r="G11" s="9">
        <f>E11*C11</f>
        <v/>
      </c>
      <c r="H11" s="10">
        <f>E11/D11</f>
        <v/>
      </c>
    </row>
    <row r="13" ht="55" customHeight="1">
      <c r="A13" s="12" t="inlineStr">
        <is>
          <t>f_a (fração remanescente de ICMS+ISS) e s_a=1-f_a (fração já convertida em IBS) seguem o cronograma da transição constitucional (ADCT arts. 128 e 131, LC 227/2026). "IBS bruto" não desconta a taxa do CGIBS nem a retenção do Seguro-Receita (ADCT art. 132), que incidem sobre a parcela distribuída aos entes pelo critério destino, não sobre o total nacional.</t>
        </is>
      </c>
    </row>
  </sheetData>
  <mergeCells count="3">
    <mergeCell ref="A2:F2"/>
    <mergeCell ref="A13:H1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2026-07-31T22:17:01Z</dcterms:created>
  <dcterms:modified xsi:type="dcterms:W3CDTF">2026-07-31T22:17:01Z</dcterms:modified>
</cp:coreProperties>
</file>