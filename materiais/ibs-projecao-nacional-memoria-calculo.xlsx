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íntese" sheetId="1" state="visible" r:id="rId1"/>
    <sheet xmlns:r="http://schemas.openxmlformats.org/officeDocument/2006/relationships" name="Série histórica 2013-2025" sheetId="2" state="visible" r:id="rId2"/>
    <sheet xmlns:r="http://schemas.openxmlformats.org/officeDocument/2006/relationships" name="Premissas macro 2026-2033" sheetId="3" state="visible" r:id="rId3"/>
    <sheet xmlns:r="http://schemas.openxmlformats.org/officeDocument/2006/relationships" name="PIB projetado" sheetId="4" state="visible" r:id="rId4"/>
    <sheet xmlns:r="http://schemas.openxmlformats.org/officeDocument/2006/relationships" name="Projeção IBS 2029-2033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R$&quot; #,##0"/>
    <numFmt numFmtId="165" formatCode="+0.00%;-0.00%;0.00%"/>
  </numFmts>
  <fonts count="10">
    <font>
      <name val="Calibri"/>
      <family val="2"/>
      <color theme="1"/>
      <sz val="11"/>
      <scheme val="minor"/>
    </font>
    <font>
      <name val="Calibri"/>
      <b val="1"/>
      <color rgb="001A3A5C"/>
      <sz val="15"/>
    </font>
    <font>
      <name val="Calibri"/>
      <i val="1"/>
      <color rgb="006E6E6E"/>
      <sz val="10"/>
    </font>
    <font>
      <name val="Calibri"/>
      <b val="1"/>
      <color rgb="001D1D1B"/>
      <sz val="11"/>
    </font>
    <font>
      <name val="Calibri"/>
      <color rgb="001D1D1B"/>
      <sz val="10.5"/>
    </font>
    <font>
      <name val="Calibri"/>
      <b val="1"/>
      <color rgb="00FFFFFF"/>
      <sz val="10.5"/>
    </font>
    <font>
      <name val="Calibri"/>
      <color rgb="000000FF"/>
      <sz val="10.5"/>
    </font>
    <font>
      <name val="Calibri"/>
      <color rgb="00000000"/>
      <sz val="10.5"/>
    </font>
    <font>
      <name val="Calibri"/>
      <i val="1"/>
      <color rgb="006E6E6E"/>
      <sz val="9.5"/>
    </font>
    <font>
      <name val="Calibri"/>
      <b val="1"/>
      <sz val="10.5"/>
    </font>
  </fonts>
  <fills count="4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EDF2F7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0" borderId="1" pivotButton="0" quotePrefix="0" xfId="0"/>
    <xf numFmtId="164" fontId="6" fillId="0" borderId="1" pivotButton="0" quotePrefix="0" xfId="0"/>
    <xf numFmtId="164" fontId="7" fillId="0" borderId="1" pivotButton="0" quotePrefix="0" xfId="0"/>
    <xf numFmtId="10" fontId="7" fillId="0" borderId="1" pivotButton="0" quotePrefix="0" xfId="0"/>
    <xf numFmtId="0" fontId="4" fillId="0" borderId="1" pivotButton="0" quotePrefix="0" xfId="0"/>
    <xf numFmtId="0" fontId="8" fillId="0" borderId="0" applyAlignment="1" pivotButton="0" quotePrefix="0" xfId="0">
      <alignment vertical="top" wrapText="1"/>
    </xf>
    <xf numFmtId="165" fontId="6" fillId="0" borderId="1" pivotButton="0" quotePrefix="0" xfId="0"/>
    <xf numFmtId="0" fontId="0" fillId="0" borderId="1" pivotButton="0" quotePrefix="0" xfId="0"/>
    <xf numFmtId="0" fontId="7" fillId="0" borderId="1" pivotButton="0" quotePrefix="0" xfId="0"/>
    <xf numFmtId="0" fontId="9" fillId="3" borderId="1" pivotButton="0" quotePrefix="0" xfId="0"/>
    <xf numFmtId="10" fontId="9" fillId="3" borderId="1" pivotButton="0" quotePrefix="0" xfId="0"/>
    <xf numFmtId="1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Estudo 11: IBS total do Brasil, 2029-2033</t>
        </is>
      </c>
    </row>
    <row r="2">
      <c r="A2" s="2" t="inlineStr">
        <is>
          <t>Série histórica (2013-2025) e projeção com PIB e inflação oficiais, memória de cálculo</t>
        </is>
      </c>
    </row>
    <row r="4" ht="30" customHeight="1">
      <c r="A4" s="3" t="inlineStr">
        <is>
          <t>Pergunta</t>
        </is>
      </c>
      <c r="B4" s="4" t="inlineStr">
        <is>
          <t>Quanto será o IBS total do Brasil entre 2029 e 2033, dado o cronograma constitucional de transição e projeções oficiais de PIB e inflação?</t>
        </is>
      </c>
    </row>
    <row r="5" ht="30" customHeight="1">
      <c r="A5" s="5" t="inlineStr"/>
      <c r="B5" s="4" t="inlineStr"/>
    </row>
    <row r="6" ht="30" customHeight="1">
      <c r="A6" s="3" t="inlineStr">
        <is>
          <t>Resposta</t>
        </is>
      </c>
      <c r="B6" s="4" t="inlineStr">
        <is>
          <t>IBS bruto nacional: de R$ 110.0 bi em 2029 a R$ 1,198.1 bi em 2033 (R$ constantes de 2025).</t>
        </is>
      </c>
    </row>
    <row r="7" ht="30" customHeight="1">
      <c r="A7" s="3" t="inlineStr">
        <is>
          <t>Arrecadação total em 2033 (ICMS+ISS+IBS)</t>
        </is>
      </c>
      <c r="B7" s="4" t="inlineStr">
        <is>
          <t>R$ 1,198.1 bi (8.02% do PIB, a mesma proporção de 2025, por premissa)</t>
        </is>
      </c>
    </row>
    <row r="8" ht="30" customHeight="1">
      <c r="A8" s="5" t="inlineStr"/>
      <c r="B8" s="4" t="inlineStr"/>
    </row>
    <row r="9" ht="30" customHeight="1">
      <c r="A9" s="3" t="inlineStr">
        <is>
          <t>Premissa central</t>
        </is>
      </c>
      <c r="B9" s="4" t="inlineStr">
        <is>
          <t>A receita de referência (ICMS+ISS+FECOP), como proporção do PIB (a carga tributária), é mantida constante no nível médio de 2024-2026 a partir de 2027: ela cresce sempre no mesmo ritmo da economia, nem mais nem menos rápido. É o próprio desenho legal da transição para o IBS (LC 214/2025, arts. 361 a 365, redação da LC 227/2026: o Senado fixa a alíquota de referência do IBS para manter essa razão constante).</t>
        </is>
      </c>
    </row>
    <row r="10" ht="30" customHeight="1">
      <c r="A10" s="3" t="inlineStr">
        <is>
          <t>Fonte do PIB e inflação, 2026-2030</t>
        </is>
      </c>
      <c r="B10" s="4" t="inlineStr">
        <is>
          <t>Boletim Focus (Banco Central do Brasil), mediana das projeções de mercado, consultado via API do Sistema de Expectativas de Mercado.</t>
        </is>
      </c>
    </row>
    <row r="11" ht="30" customHeight="1">
      <c r="A11" s="3" t="inlineStr">
        <is>
          <t>Fonte do PIB e inflação, 2031-2033</t>
        </is>
      </c>
      <c r="B11" s="4" t="inlineStr">
        <is>
          <t>IFI, Instituição Fiscal Independente (Senado Federal), Relatório de Acompanhamento Fiscal (RAF) nº 107, 18/dez/2025: PIB real 2,2% a.a. (2027-2035), IPCA convergindo a 3,0% (centro da meta contínua).</t>
        </is>
      </c>
    </row>
    <row r="12" ht="30" customHeight="1">
      <c r="A12" s="3" t="inlineStr">
        <is>
          <t>Fonte do ICMS</t>
        </is>
      </c>
      <c r="B12" s="4" t="inlineStr">
        <is>
          <t>SICONFI/STN, DCA Anexo I-C (2013-2025), comparado com o RREO Anexo 3 para 2015-2018 (diferença &lt; 1,3%).</t>
        </is>
      </c>
    </row>
    <row r="13" ht="30" customHeight="1">
      <c r="A13" s="3" t="inlineStr">
        <is>
          <t>Fonte do ISS</t>
        </is>
      </c>
      <c r="B13" s="4" t="inlineStr">
        <is>
          <t>SICONFI/STN, DCA Anexo I-C, todos os municípios brasileiros (2013-2025).</t>
        </is>
      </c>
    </row>
    <row r="14" ht="30" customHeight="1">
      <c r="A14" s="3" t="inlineStr">
        <is>
          <t>Fonte do FECOP</t>
        </is>
      </c>
      <c r="B14" s="4" t="inlineStr">
        <is>
          <t>SICONFI/STN, DCA Anexo I-C (2019-2025); zero em 2013-2018; 2026 usa o valor de 2025 como estimativa preliminar. Mesmo critério do coeficiente validado no Estudo 06.</t>
        </is>
      </c>
    </row>
    <row r="15" ht="30" customHeight="1">
      <c r="A15" s="3" t="inlineStr">
        <is>
          <t>Base legal da transição</t>
        </is>
      </c>
      <c r="B15" s="4" t="inlineStr">
        <is>
          <t>ADCT arts. 128, 130, 131 e 132 (EC 132/2023); LC 227/2026, arts. 51 e 114 a 116 (CGIBS e critério histórico/destino).</t>
        </is>
      </c>
    </row>
    <row r="16" ht="30" customHeight="1">
      <c r="A16" s="3" t="inlineStr">
        <is>
          <t>Cronograma f_a/s_a</t>
        </is>
      </c>
      <c r="B16" s="4" t="inlineStr">
        <is>
          <t>Fração remanescente de ICMS/ISS (f_a) e fração já convertida em IBS (s_a=1-f_a) a cada ano da transição, conforme ADCT arts. 128 e 131.</t>
        </is>
      </c>
    </row>
    <row r="17" ht="30" customHeight="1">
      <c r="A17" s="3" t="inlineStr">
        <is>
          <t>Divisão do IBS bruto</t>
        </is>
      </c>
      <c r="B17" s="4" t="inlineStr">
        <is>
          <t>Fração alpha_a distribuída pelo critério histórico; o restante pelo critério destino, líquido do Seguro-Receita (5%, ADCT art. 132, retido primeiro) e do CGIBS (art. 51 LC 227/2026, retido depois -- LC 227/2026 arts. 109-111 e 118 §§2º-4º). Mesmos parâmetros já publicados no Estudo 06, usados aqui só para o agregado nacional (aba 'Projeção IBS 2029-2033').</t>
        </is>
      </c>
    </row>
    <row r="18" ht="30" customHeight="1">
      <c r="A18" s="3" t="inlineStr">
        <is>
          <t>O que este arquivo mostra</t>
        </is>
      </c>
      <c r="B18" s="4" t="inlineStr">
        <is>
          <t>Aba 'Série histórica': dados de entrada SICONFI 2013-2025. Aba 'Premissas macro': dados de entrada Focus/IFI 2026-2033. Aba 'PIB projetado': fórmulas que compõem o PIB real ano a ano (R$ constantes de 2025, IPCA projetado não aplicado). Aba 'Projeção IBS': fórmulas que aplicam a carga tributária constante, o cronograma ADCT e a divisão do IBS bruto. Mude qualquer premissa nas abas de entrada (em azul) e a projeção recalcula.</t>
        </is>
      </c>
    </row>
    <row r="19" ht="30" customHeight="1">
      <c r="A19" s="3" t="inlineStr">
        <is>
          <t>Gerado em</t>
        </is>
      </c>
      <c r="B19" s="4" t="inlineStr">
        <is>
          <t>2026-10-04</t>
        </is>
      </c>
    </row>
    <row r="20" ht="30" customHeight="1">
      <c r="A20" s="3" t="inlineStr">
        <is>
          <t>Página do estudo</t>
        </is>
      </c>
      <c r="B20" s="4" t="inlineStr">
        <is>
          <t>https://www.eduardoreisaraujo.com.br/estudos/ibs-projecao-nacional.html</t>
        </is>
      </c>
    </row>
  </sheetData>
  <mergeCells count="19">
    <mergeCell ref="B4:F4"/>
    <mergeCell ref="B7:F7"/>
    <mergeCell ref="B16:F16"/>
    <mergeCell ref="B18:F18"/>
    <mergeCell ref="A2:F2"/>
    <mergeCell ref="B12:F12"/>
    <mergeCell ref="B11:F11"/>
    <mergeCell ref="B14:F14"/>
    <mergeCell ref="B8:F8"/>
    <mergeCell ref="B17:F17"/>
    <mergeCell ref="B13:F13"/>
    <mergeCell ref="B10:F10"/>
    <mergeCell ref="B19:F19"/>
    <mergeCell ref="B9:F9"/>
    <mergeCell ref="B6:F6"/>
    <mergeCell ref="B20:F20"/>
    <mergeCell ref="B15:F15"/>
    <mergeCell ref="A1:F1"/>
    <mergeCell ref="B5:F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20" customWidth="1" min="3" max="3"/>
    <col width="16" customWidth="1" min="4" max="4"/>
    <col width="22" customWidth="1" min="5" max="5"/>
    <col width="22" customWidth="1" min="6" max="6"/>
    <col width="20" customWidth="1" min="7" max="7"/>
    <col width="16" customWidth="1" min="8" max="8"/>
    <col width="12" customWidth="1" min="9" max="9"/>
  </cols>
  <sheetData>
    <row r="1">
      <c r="A1" s="1" t="inlineStr">
        <is>
          <t>ICMS + ISS + FECOP, Brasil: série histórica 2013-2025</t>
        </is>
      </c>
    </row>
    <row r="2">
      <c r="A2" s="2" t="inlineStr">
        <is>
          <t>Dados de entrada (células em azul), SICONFI/STN</t>
        </is>
      </c>
    </row>
    <row r="4">
      <c r="A4" s="6" t="inlineStr">
        <is>
          <t>Ano</t>
        </is>
      </c>
      <c r="B4" s="6" t="inlineStr">
        <is>
          <t>ICMS (R$)</t>
        </is>
      </c>
      <c r="C4" s="6" t="inlineStr">
        <is>
          <t>ISS (R$)</t>
        </is>
      </c>
      <c r="D4" s="6" t="inlineStr">
        <is>
          <t>FECOP (R$)</t>
        </is>
      </c>
      <c r="E4" s="6" t="inlineStr">
        <is>
          <t>Total nominal (R$)</t>
        </is>
      </c>
      <c r="F4" s="6" t="inlineStr">
        <is>
          <t>Total real, 2025 (R$)</t>
        </is>
      </c>
      <c r="G4" s="6" t="inlineStr">
        <is>
          <t>PIB nominal (R$)</t>
        </is>
      </c>
      <c r="H4" s="6" t="inlineStr">
        <is>
          <t>Total / PIB</t>
        </is>
      </c>
      <c r="I4" s="6" t="inlineStr">
        <is>
          <t>Fonte ICMS</t>
        </is>
      </c>
    </row>
    <row r="5">
      <c r="A5" s="7" t="n">
        <v>2013</v>
      </c>
      <c r="B5" s="8" t="n">
        <v>351208258415.59</v>
      </c>
      <c r="C5" s="8" t="n">
        <v>44603470588.89</v>
      </c>
      <c r="D5" s="8" t="n">
        <v>0</v>
      </c>
      <c r="E5" s="9">
        <f>B5+C5+D5</f>
        <v/>
      </c>
      <c r="F5" s="8" t="n">
        <v>768024440131.99</v>
      </c>
      <c r="G5" s="8" t="n">
        <v>5331618999627.08</v>
      </c>
      <c r="H5" s="10">
        <f>E5/G5</f>
        <v/>
      </c>
      <c r="I5" s="11" t="inlineStr">
        <is>
          <t>DCA</t>
        </is>
      </c>
    </row>
    <row r="6">
      <c r="A6" s="7" t="n">
        <v>2014</v>
      </c>
      <c r="B6" s="8" t="n">
        <v>374500455243.7</v>
      </c>
      <c r="C6" s="8" t="n">
        <v>48736779406.45</v>
      </c>
      <c r="D6" s="8" t="n">
        <v>0</v>
      </c>
      <c r="E6" s="9">
        <f>B6+C6+D6</f>
        <v/>
      </c>
      <c r="F6" s="8" t="n">
        <v>771787132328.83</v>
      </c>
      <c r="G6" s="8" t="n">
        <v>5778953000008.59</v>
      </c>
      <c r="H6" s="10">
        <f>E6/G6</f>
        <v/>
      </c>
      <c r="I6" s="11" t="inlineStr">
        <is>
          <t>DCA</t>
        </is>
      </c>
    </row>
    <row r="7">
      <c r="A7" s="7" t="n">
        <v>2015</v>
      </c>
      <c r="B7" s="8" t="n">
        <v>385291418665.57</v>
      </c>
      <c r="C7" s="8" t="n">
        <v>52456331446.13</v>
      </c>
      <c r="D7" s="8" t="n">
        <v>0</v>
      </c>
      <c r="E7" s="9">
        <f>B7+C7+D7</f>
        <v/>
      </c>
      <c r="F7" s="8" t="n">
        <v>721263493891.62</v>
      </c>
      <c r="G7" s="8" t="n">
        <v>5995786999726.3</v>
      </c>
      <c r="H7" s="10">
        <f>E7/G7</f>
        <v/>
      </c>
      <c r="I7" s="11" t="inlineStr">
        <is>
          <t>DCA</t>
        </is>
      </c>
    </row>
    <row r="8">
      <c r="A8" s="7" t="n">
        <v>2016</v>
      </c>
      <c r="B8" s="8" t="n">
        <v>404214537044.43</v>
      </c>
      <c r="C8" s="8" t="n">
        <v>52326423881.55</v>
      </c>
      <c r="D8" s="8" t="n">
        <v>0</v>
      </c>
      <c r="E8" s="9">
        <f>B8+C8+D8</f>
        <v/>
      </c>
      <c r="F8" s="8" t="n">
        <v>707726271317.67</v>
      </c>
      <c r="G8" s="8" t="n">
        <v>6269328000659.18</v>
      </c>
      <c r="H8" s="10">
        <f>E8/G8</f>
        <v/>
      </c>
      <c r="I8" s="11" t="inlineStr">
        <is>
          <t>DCA</t>
        </is>
      </c>
    </row>
    <row r="9">
      <c r="A9" s="7" t="n">
        <v>2017</v>
      </c>
      <c r="B9" s="8" t="n">
        <v>437205536595.41</v>
      </c>
      <c r="C9" s="8" t="n">
        <v>54880868786.6</v>
      </c>
      <c r="D9" s="8" t="n">
        <v>0</v>
      </c>
      <c r="E9" s="9">
        <f>B9+C9+D9</f>
        <v/>
      </c>
      <c r="F9" s="8" t="n">
        <v>740989005972.98</v>
      </c>
      <c r="G9" s="8" t="n">
        <v>6585479000139.78</v>
      </c>
      <c r="H9" s="10">
        <f>E9/G9</f>
        <v/>
      </c>
      <c r="I9" s="11" t="inlineStr">
        <is>
          <t>DCA</t>
        </is>
      </c>
    </row>
    <row r="10">
      <c r="A10" s="7" t="n">
        <v>2018</v>
      </c>
      <c r="B10" s="8" t="n">
        <v>472618579441.61</v>
      </c>
      <c r="C10" s="8" t="n">
        <v>62298307526.46</v>
      </c>
      <c r="D10" s="8" t="n">
        <v>0</v>
      </c>
      <c r="E10" s="9">
        <f>B10+C10+D10</f>
        <v/>
      </c>
      <c r="F10" s="8" t="n">
        <v>776403550007.77</v>
      </c>
      <c r="G10" s="8" t="n">
        <v>7004140999893.37</v>
      </c>
      <c r="H10" s="10">
        <f>E10/G10</f>
        <v/>
      </c>
      <c r="I10" s="11" t="inlineStr">
        <is>
          <t>DCA</t>
        </is>
      </c>
    </row>
    <row r="11">
      <c r="A11" s="7" t="n">
        <v>2019</v>
      </c>
      <c r="B11" s="8" t="n">
        <v>499579904118.77</v>
      </c>
      <c r="C11" s="8" t="n">
        <v>72575738376.57001</v>
      </c>
      <c r="D11" s="8" t="n">
        <v>13510645883.15</v>
      </c>
      <c r="E11" s="9">
        <f>B11+C11+D11</f>
        <v/>
      </c>
      <c r="F11" s="8" t="n">
        <v>814970657770.4</v>
      </c>
      <c r="G11" s="8" t="n">
        <v>7389130999453.28</v>
      </c>
      <c r="H11" s="10">
        <f>E11/G11</f>
        <v/>
      </c>
      <c r="I11" s="11" t="inlineStr">
        <is>
          <t>DCA</t>
        </is>
      </c>
    </row>
    <row r="12">
      <c r="A12" s="7" t="n">
        <v>2020</v>
      </c>
      <c r="B12" s="8" t="n">
        <v>510683536642.49</v>
      </c>
      <c r="C12" s="8" t="n">
        <v>72939656553.14</v>
      </c>
      <c r="D12" s="8" t="n">
        <v>14626111775.69</v>
      </c>
      <c r="E12" s="9">
        <f>B12+C12+D12</f>
        <v/>
      </c>
      <c r="F12" s="8" t="n">
        <v>796499659810.45</v>
      </c>
      <c r="G12" s="8" t="n">
        <v>7609597000575.82</v>
      </c>
      <c r="H12" s="10">
        <f>E12/G12</f>
        <v/>
      </c>
      <c r="I12" s="11" t="inlineStr">
        <is>
          <t>DCA</t>
        </is>
      </c>
    </row>
    <row r="13">
      <c r="A13" s="7" t="n">
        <v>2021</v>
      </c>
      <c r="B13" s="8" t="n">
        <v>642861083066.52</v>
      </c>
      <c r="C13" s="8" t="n">
        <v>90315695421.34</v>
      </c>
      <c r="D13" s="8" t="n">
        <v>18121397167.85</v>
      </c>
      <c r="E13" s="9">
        <f>B13+C13+D13</f>
        <v/>
      </c>
      <c r="F13" s="8" t="n">
        <v>908828745865.16</v>
      </c>
      <c r="G13" s="8" t="n">
        <v>9012141999284.48</v>
      </c>
      <c r="H13" s="10">
        <f>E13/G13</f>
        <v/>
      </c>
      <c r="I13" s="11" t="inlineStr">
        <is>
          <t>DCA</t>
        </is>
      </c>
    </row>
    <row r="14">
      <c r="A14" s="7" t="n">
        <v>2022</v>
      </c>
      <c r="B14" s="8" t="n">
        <v>679688910408.1899</v>
      </c>
      <c r="C14" s="8" t="n">
        <v>105738689405.94</v>
      </c>
      <c r="D14" s="8" t="n">
        <v>17215116819.65</v>
      </c>
      <c r="E14" s="9">
        <f>B14+C14+D14</f>
        <v/>
      </c>
      <c r="F14" s="8" t="n">
        <v>917843313585.53</v>
      </c>
      <c r="G14" s="8" t="n">
        <v>10079676679176</v>
      </c>
      <c r="H14" s="10">
        <f>E14/G14</f>
        <v/>
      </c>
      <c r="I14" s="11" t="inlineStr">
        <is>
          <t>DCA</t>
        </is>
      </c>
    </row>
    <row r="15">
      <c r="A15" s="7" t="n">
        <v>2023</v>
      </c>
      <c r="B15" s="8" t="n">
        <v>690862487567.4301</v>
      </c>
      <c r="C15" s="8" t="n">
        <v>120982841687.58</v>
      </c>
      <c r="D15" s="8" t="n">
        <v>14594149274.45</v>
      </c>
      <c r="E15" s="9">
        <f>B15+C15+D15</f>
        <v/>
      </c>
      <c r="F15" s="8" t="n">
        <v>903312446981.72</v>
      </c>
      <c r="G15" s="8" t="n">
        <v>10943344667905</v>
      </c>
      <c r="H15" s="10">
        <f>E15/G15</f>
        <v/>
      </c>
      <c r="I15" s="11" t="inlineStr">
        <is>
          <t>DCA</t>
        </is>
      </c>
    </row>
    <row r="16">
      <c r="A16" s="7" t="n">
        <v>2024</v>
      </c>
      <c r="B16" s="8" t="n">
        <v>794639652610.3199</v>
      </c>
      <c r="C16" s="8" t="n">
        <v>139810741117.97</v>
      </c>
      <c r="D16" s="8" t="n">
        <v>16560156010.15</v>
      </c>
      <c r="E16" s="9">
        <f>B16+C16+D16</f>
        <v/>
      </c>
      <c r="F16" s="8" t="n">
        <v>991565300062.34</v>
      </c>
      <c r="G16" s="8" t="n">
        <v>11779250581628.3</v>
      </c>
      <c r="H16" s="10">
        <f>E16/G16</f>
        <v/>
      </c>
      <c r="I16" s="11" t="inlineStr">
        <is>
          <t>DCA</t>
        </is>
      </c>
    </row>
    <row r="17">
      <c r="A17" s="7" t="n">
        <v>2025</v>
      </c>
      <c r="B17" s="8" t="n">
        <v>848995884628.38</v>
      </c>
      <c r="C17" s="8" t="n">
        <v>153789986855.54</v>
      </c>
      <c r="D17" s="8" t="n">
        <v>17136685627.32</v>
      </c>
      <c r="E17" s="9">
        <f>B17+C17+D17</f>
        <v/>
      </c>
      <c r="F17" s="8" t="n">
        <v>1019922557111.24</v>
      </c>
      <c r="G17" s="8" t="n">
        <v>12738565613881.1</v>
      </c>
      <c r="H17" s="10">
        <f>E17/G17</f>
        <v/>
      </c>
      <c r="I17" s="11" t="inlineStr">
        <is>
          <t>DCA</t>
        </is>
      </c>
    </row>
    <row r="19" ht="40" customHeight="1">
      <c r="A19" s="12" t="inlineStr">
        <is>
          <t>ICMS e ISS 2013-2025, FECOP 2019-2025: SICONFI/STN, DCA Anexo I-C, todos os estados e municípios. O SICONFI não publica o DCA antes de 2013 (FECOP tratado como zero em 2013-2018, sem coleta equivalente via RREO). Para 2015-2018, o ICMS do DCA foi comparado com o RREO Anexo 3 (conta ICMSLiquidoExcetoTransferenciasEFUNDEB, coluna "TOTAL últimos 12 meses"): diferença &lt; 1,3% em todos os anos. FECOP incluído porque a legislação da reforma o trata como parte da base substituída pelo IBS nos estados que o cobram (mesmo critério do coeficiente validado no Estudo 06).</t>
        </is>
      </c>
    </row>
  </sheetData>
  <mergeCells count="3">
    <mergeCell ref="A2:F2"/>
    <mergeCell ref="A1:F1"/>
    <mergeCell ref="A19:I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42" customWidth="1" min="4" max="4"/>
  </cols>
  <sheetData>
    <row r="1">
      <c r="A1" s="1" t="inlineStr">
        <is>
          <t>Crescimento do PIB e inflação, 2026-2033</t>
        </is>
      </c>
    </row>
    <row r="2">
      <c r="A2" s="2" t="inlineStr">
        <is>
          <t>Dados de entrada (células em azul), Boletim Focus (BCB) e IFI (RAF 107)</t>
        </is>
      </c>
    </row>
    <row r="4">
      <c r="A4" s="6" t="inlineStr">
        <is>
          <t>Ano</t>
        </is>
      </c>
      <c r="B4" s="6" t="inlineStr">
        <is>
          <t>PIB real (%)</t>
        </is>
      </c>
      <c r="C4" s="6" t="inlineStr">
        <is>
          <t>IPCA (%)</t>
        </is>
      </c>
      <c r="D4" s="6" t="inlineStr">
        <is>
          <t>Fonte</t>
        </is>
      </c>
    </row>
    <row r="5">
      <c r="A5" s="7" t="n">
        <v>2026</v>
      </c>
      <c r="B5" s="13" t="n">
        <v>0.0198</v>
      </c>
      <c r="C5" s="13" t="n">
        <v>0.0502</v>
      </c>
      <c r="D5" s="11" t="inlineStr">
        <is>
          <t>Focus (BCB), mediana</t>
        </is>
      </c>
    </row>
    <row r="6">
      <c r="A6" s="7" t="n">
        <v>2027</v>
      </c>
      <c r="B6" s="13" t="n">
        <v>0.0152</v>
      </c>
      <c r="C6" s="13" t="n">
        <v>0.0422</v>
      </c>
      <c r="D6" s="11" t="inlineStr">
        <is>
          <t>Focus (BCB), mediana</t>
        </is>
      </c>
    </row>
    <row r="7">
      <c r="A7" s="7" t="n">
        <v>2028</v>
      </c>
      <c r="B7" s="13" t="n">
        <v>0.02</v>
      </c>
      <c r="C7" s="13" t="n">
        <v>0.038</v>
      </c>
      <c r="D7" s="11" t="inlineStr">
        <is>
          <t>Focus (BCB), mediana</t>
        </is>
      </c>
    </row>
    <row r="8">
      <c r="A8" s="7" t="n">
        <v>2029</v>
      </c>
      <c r="B8" s="13" t="n">
        <v>0.02</v>
      </c>
      <c r="C8" s="13" t="n">
        <v>0.035</v>
      </c>
      <c r="D8" s="11" t="inlineStr">
        <is>
          <t>Focus (BCB), mediana</t>
        </is>
      </c>
    </row>
    <row r="9">
      <c r="A9" s="7" t="n">
        <v>2030</v>
      </c>
      <c r="B9" s="13" t="n">
        <v>0.02</v>
      </c>
      <c r="C9" s="13" t="n">
        <v>0.035</v>
      </c>
      <c r="D9" s="11" t="inlineStr">
        <is>
          <t>Focus (BCB), mediana</t>
        </is>
      </c>
    </row>
    <row r="10">
      <c r="A10" s="7" t="n">
        <v>2031</v>
      </c>
      <c r="B10" s="13" t="n">
        <v>0.022</v>
      </c>
      <c r="C10" s="13" t="n">
        <v>0.03</v>
      </c>
      <c r="D10" s="11" t="inlineStr">
        <is>
          <t>IFI, RAF 107 (dez/2025)</t>
        </is>
      </c>
    </row>
    <row r="11">
      <c r="A11" s="7" t="n">
        <v>2032</v>
      </c>
      <c r="B11" s="13" t="n">
        <v>0.022</v>
      </c>
      <c r="C11" s="13" t="n">
        <v>0.03</v>
      </c>
      <c r="D11" s="11" t="inlineStr">
        <is>
          <t>IFI, RAF 107 (dez/2025)</t>
        </is>
      </c>
    </row>
    <row r="12">
      <c r="A12" s="7" t="n">
        <v>2033</v>
      </c>
      <c r="B12" s="13" t="n">
        <v>0.022</v>
      </c>
      <c r="C12" s="13" t="n">
        <v>0.03</v>
      </c>
      <c r="D12" s="11" t="inlineStr">
        <is>
          <t>IFI, RAF 107 (dez/2025)</t>
        </is>
      </c>
    </row>
    <row r="14" ht="55" customHeight="1">
      <c r="A14" s="12" t="inlineStr">
        <is>
          <t>2026-2030: mediana do Boletim Focus (BCB), consultada via API do Sistema de Expectativas de Mercado. 2031-2033: fora do horizonte do Focus (~5 anos); usa-se a projeção da IFI (RAF 107, 18/dez/2025), constante nos três anos por simplificação, já que a IFI projeta uma taxa média para 2027-2035, não ano a ano.</t>
        </is>
      </c>
    </row>
  </sheetData>
  <mergeCells count="3">
    <mergeCell ref="A2:F2"/>
    <mergeCell ref="A1:F1"/>
    <mergeCell ref="A14:D1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20" customWidth="1" min="3" max="3"/>
  </cols>
  <sheetData>
    <row r="1">
      <c r="A1" s="1" t="inlineStr">
        <is>
          <t>PIB real projetado, 2025-2033 (R$ constantes de 2025)</t>
        </is>
      </c>
    </row>
    <row r="2">
      <c r="A2" s="2" t="inlineStr">
        <is>
          <t>Fórmulas: PIB(t) = PIB(t-1) × (1 + PIB real). Não compõe IPCA -- a partir de ago/2026 este estudo projeta em R$ constantes de 2025, não em R$ nominais.</t>
        </is>
      </c>
    </row>
    <row r="4">
      <c r="A4" s="6" t="inlineStr">
        <is>
          <t>Ano</t>
        </is>
      </c>
      <c r="B4" s="6" t="inlineStr">
        <is>
          <t>PIB real, R$ 2025 (R$)</t>
        </is>
      </c>
      <c r="C4" s="6" t="inlineStr">
        <is>
          <t>Crescimento real (%)</t>
        </is>
      </c>
    </row>
    <row r="5">
      <c r="A5" s="7" t="n">
        <v>2025</v>
      </c>
      <c r="B5" s="8" t="n">
        <v>12738565613881.1</v>
      </c>
      <c r="C5" s="14" t="n"/>
    </row>
    <row r="6">
      <c r="A6" s="15" t="n">
        <v>2026</v>
      </c>
      <c r="B6" s="9">
        <f>B5*(1+'Premissas macro 2026-2033'!B5)</f>
        <v/>
      </c>
      <c r="C6" s="10">
        <f>B6/B5-1</f>
        <v/>
      </c>
    </row>
    <row r="7">
      <c r="A7" s="15" t="n">
        <v>2027</v>
      </c>
      <c r="B7" s="9">
        <f>B6*(1+'Premissas macro 2026-2033'!B6)</f>
        <v/>
      </c>
      <c r="C7" s="10">
        <f>B7/B6-1</f>
        <v/>
      </c>
    </row>
    <row r="8">
      <c r="A8" s="15" t="n">
        <v>2028</v>
      </c>
      <c r="B8" s="9">
        <f>B7*(1+'Premissas macro 2026-2033'!B7)</f>
        <v/>
      </c>
      <c r="C8" s="10">
        <f>B8/B7-1</f>
        <v/>
      </c>
    </row>
    <row r="9">
      <c r="A9" s="15" t="n">
        <v>2029</v>
      </c>
      <c r="B9" s="9">
        <f>B8*(1+'Premissas macro 2026-2033'!B8)</f>
        <v/>
      </c>
      <c r="C9" s="10">
        <f>B9/B8-1</f>
        <v/>
      </c>
    </row>
    <row r="10">
      <c r="A10" s="15" t="n">
        <v>2030</v>
      </c>
      <c r="B10" s="9">
        <f>B9*(1+'Premissas macro 2026-2033'!B9)</f>
        <v/>
      </c>
      <c r="C10" s="10">
        <f>B10/B9-1</f>
        <v/>
      </c>
    </row>
    <row r="11">
      <c r="A11" s="15" t="n">
        <v>2031</v>
      </c>
      <c r="B11" s="9">
        <f>B10*(1+'Premissas macro 2026-2033'!B10)</f>
        <v/>
      </c>
      <c r="C11" s="10">
        <f>B11/B10-1</f>
        <v/>
      </c>
    </row>
    <row r="12">
      <c r="A12" s="15" t="n">
        <v>2032</v>
      </c>
      <c r="B12" s="9">
        <f>B11*(1+'Premissas macro 2026-2033'!B11)</f>
        <v/>
      </c>
      <c r="C12" s="10">
        <f>B12/B11-1</f>
        <v/>
      </c>
    </row>
    <row r="13">
      <c r="A13" s="15" t="n">
        <v>2033</v>
      </c>
      <c r="B13" s="9">
        <f>B12*(1+'Premissas macro 2026-2033'!B12)</f>
        <v/>
      </c>
      <c r="C13" s="10">
        <f>B13/B12-1</f>
        <v/>
      </c>
    </row>
  </sheetData>
  <mergeCells count="2">
    <mergeCell ref="A2:F2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4" customWidth="1" min="3" max="3"/>
    <col width="20" customWidth="1" min="4" max="4"/>
    <col width="20" customWidth="1" min="5" max="5"/>
    <col width="22" customWidth="1" min="6" max="6"/>
    <col width="20" customWidth="1" min="7" max="7"/>
    <col width="14" customWidth="1" min="8" max="8"/>
    <col width="22" customWidth="1" min="9" max="9"/>
  </cols>
  <sheetData>
    <row r="1">
      <c r="A1" s="1" t="inlineStr">
        <is>
          <t>Projeção do IBS total, Brasil, 2029-2033</t>
        </is>
      </c>
    </row>
    <row r="2">
      <c r="A2" s="2" t="inlineStr">
        <is>
          <t>Fórmulas: Receita(t) = Razão(2024-2026) × PIB(t); ICMS+ISS residual = Receita × fa; IBS bruto = Receita × sa</t>
        </is>
      </c>
    </row>
    <row r="4">
      <c r="A4" s="3" t="inlineStr">
        <is>
          <t>Receita de referência (LC 214/2025, arts. 361-365): média da razão receita/PIB em 2024-2026</t>
        </is>
      </c>
    </row>
    <row r="5">
      <c r="A5" s="6" t="inlineStr">
        <is>
          <t>Ano</t>
        </is>
      </c>
      <c r="B5" s="6" t="inlineStr">
        <is>
          <t>ICMS+ISS+FECOP (R$)</t>
        </is>
      </c>
      <c r="C5" s="6" t="inlineStr">
        <is>
          <t>PIB (R$)</t>
        </is>
      </c>
      <c r="D5" s="6" t="inlineStr">
        <is>
          <t>Razão</t>
        </is>
      </c>
      <c r="E5" s="6" t="inlineStr">
        <is>
          <t>Situação</t>
        </is>
      </c>
    </row>
    <row r="6">
      <c r="A6" s="15" t="n">
        <v>2024</v>
      </c>
      <c r="B6" s="9">
        <f>'Série histórica 2013-2025'!E16</f>
        <v/>
      </c>
      <c r="C6" s="9">
        <f>'Série histórica 2013-2025'!G16</f>
        <v/>
      </c>
      <c r="D6" s="10">
        <f>B6/C6</f>
        <v/>
      </c>
      <c r="E6" s="11" t="inlineStr">
        <is>
          <t>fechado (DCA)</t>
        </is>
      </c>
    </row>
    <row r="7">
      <c r="A7" s="15" t="n">
        <v>2025</v>
      </c>
      <c r="B7" s="9">
        <f>'Série histórica 2013-2025'!E17</f>
        <v/>
      </c>
      <c r="C7" s="9">
        <f>'Série histórica 2013-2025'!G17</f>
        <v/>
      </c>
      <c r="D7" s="10">
        <f>B7/C7</f>
        <v/>
      </c>
      <c r="E7" s="11" t="inlineStr">
        <is>
          <t>fechado (DCA)</t>
        </is>
      </c>
    </row>
    <row r="8">
      <c r="A8" s="7" t="n">
        <v>2026</v>
      </c>
      <c r="B8" s="8" t="n">
        <v>1036411135097.23</v>
      </c>
      <c r="C8" s="8" t="n">
        <v>12991145892873.13</v>
      </c>
      <c r="D8" s="10">
        <f>B8/C8</f>
        <v/>
      </c>
      <c r="E8" s="11" t="inlineStr">
        <is>
          <t>estimativa preliminar (RREO 12m + PIB Focus)</t>
        </is>
      </c>
    </row>
    <row r="9">
      <c r="A9" s="16" t="inlineStr">
        <is>
          <t>Média 2024-2026 (usada na projeção)</t>
        </is>
      </c>
      <c r="B9" s="14" t="n"/>
      <c r="C9" s="14" t="n"/>
      <c r="D9" s="17">
        <f>AVERAGE(D6:D8)</f>
        <v/>
      </c>
      <c r="E9" s="14" t="n"/>
    </row>
    <row r="11" ht="45" customHeight="1">
      <c r="A11" s="12" t="inlineStr">
        <is>
          <t>O Teto de Referência (ADCT art. 130, §4º e §5º) compara a média 2029-2033 de CBS+Imposto Seletivo+IBS com a média 2012-2021 de IPI+ICMS+ISS+PIS/Cofins+IOF-seguros. Não altera os valores desta planilha: mesmo se ultrapassado, a redução só vale a partir de 2035 (fora desta projeção), e exige dados federais fora do escopo deste estudo (só ICMS/ISS/IBS).</t>
        </is>
      </c>
    </row>
    <row r="13">
      <c r="A13" s="6" t="inlineStr">
        <is>
          <t>Ano</t>
        </is>
      </c>
      <c r="B13" s="6" t="inlineStr">
        <is>
          <t>f_a (ICMS+ISS residual)</t>
        </is>
      </c>
      <c r="C13" s="6" t="inlineStr">
        <is>
          <t>s_a (IBS)</t>
        </is>
      </c>
      <c r="D13" s="6" t="inlineStr">
        <is>
          <t>PIB real, R$ 2025 (R$)</t>
        </is>
      </c>
      <c r="E13" s="6" t="inlineStr">
        <is>
          <t>Receita projetada (R$)</t>
        </is>
      </c>
      <c r="F13" s="6" t="inlineStr">
        <is>
          <t>ICMS+ISS residual (R$)</t>
        </is>
      </c>
      <c r="G13" s="6" t="inlineStr">
        <is>
          <t>IBS bruto (R$)</t>
        </is>
      </c>
      <c r="H13" s="6" t="inlineStr">
        <is>
          <t>Carga tributária (% PIB)</t>
        </is>
      </c>
    </row>
    <row r="14">
      <c r="A14" s="15" t="n">
        <v>2029</v>
      </c>
      <c r="B14" s="18" t="n">
        <v>0.9</v>
      </c>
      <c r="C14" s="10">
        <f>1-B14</f>
        <v/>
      </c>
      <c r="D14" s="9">
        <f>'PIB projetado'!B9</f>
        <v/>
      </c>
      <c r="E14" s="9">
        <f>$D$9*D14</f>
        <v/>
      </c>
      <c r="F14" s="9">
        <f>E14*B14</f>
        <v/>
      </c>
      <c r="G14" s="9">
        <f>E14*C14</f>
        <v/>
      </c>
      <c r="H14" s="10">
        <f>E14/D14</f>
        <v/>
      </c>
    </row>
    <row r="15">
      <c r="A15" s="15" t="n">
        <v>2030</v>
      </c>
      <c r="B15" s="18" t="n">
        <v>0.8</v>
      </c>
      <c r="C15" s="10">
        <f>1-B15</f>
        <v/>
      </c>
      <c r="D15" s="9">
        <f>'PIB projetado'!B10</f>
        <v/>
      </c>
      <c r="E15" s="9">
        <f>$D$9*D15</f>
        <v/>
      </c>
      <c r="F15" s="9">
        <f>E15*B15</f>
        <v/>
      </c>
      <c r="G15" s="9">
        <f>E15*C15</f>
        <v/>
      </c>
      <c r="H15" s="10">
        <f>E15/D15</f>
        <v/>
      </c>
    </row>
    <row r="16">
      <c r="A16" s="15" t="n">
        <v>2031</v>
      </c>
      <c r="B16" s="18" t="n">
        <v>0.7</v>
      </c>
      <c r="C16" s="10">
        <f>1-B16</f>
        <v/>
      </c>
      <c r="D16" s="9">
        <f>'PIB projetado'!B11</f>
        <v/>
      </c>
      <c r="E16" s="9">
        <f>$D$9*D16</f>
        <v/>
      </c>
      <c r="F16" s="9">
        <f>E16*B16</f>
        <v/>
      </c>
      <c r="G16" s="9">
        <f>E16*C16</f>
        <v/>
      </c>
      <c r="H16" s="10">
        <f>E16/D16</f>
        <v/>
      </c>
    </row>
    <row r="17">
      <c r="A17" s="15" t="n">
        <v>2032</v>
      </c>
      <c r="B17" s="18" t="n">
        <v>0.6</v>
      </c>
      <c r="C17" s="10">
        <f>1-B17</f>
        <v/>
      </c>
      <c r="D17" s="9">
        <f>'PIB projetado'!B12</f>
        <v/>
      </c>
      <c r="E17" s="9">
        <f>$D$9*D17</f>
        <v/>
      </c>
      <c r="F17" s="9">
        <f>E17*B17</f>
        <v/>
      </c>
      <c r="G17" s="9">
        <f>E17*C17</f>
        <v/>
      </c>
      <c r="H17" s="10">
        <f>E17/D17</f>
        <v/>
      </c>
    </row>
    <row r="18">
      <c r="A18" s="15" t="n">
        <v>2033</v>
      </c>
      <c r="B18" s="18" t="n">
        <v>0</v>
      </c>
      <c r="C18" s="10">
        <f>1-B18</f>
        <v/>
      </c>
      <c r="D18" s="9">
        <f>'PIB projetado'!B13</f>
        <v/>
      </c>
      <c r="E18" s="9">
        <f>$D$9*D18</f>
        <v/>
      </c>
      <c r="F18" s="9">
        <f>E18*B18</f>
        <v/>
      </c>
      <c r="G18" s="9">
        <f>E18*C18</f>
        <v/>
      </c>
      <c r="H18" s="10">
        <f>E18/D18</f>
        <v/>
      </c>
    </row>
    <row r="20" ht="45" customHeight="1">
      <c r="A20" s="12" t="inlineStr">
        <is>
          <t>f_a (fração remanescente de ICMS+ISS) e s_a=1-f_a (fração já convertida em IBS) seguem o cronograma da transição constitucional (ADCT arts. 128 e 131, LC 227/2026). "IBS bruto" é a arrecadação total antes de qualquer dedução; a divisão entre critério histórico, critério destino, Seguro-Receita e CGIBS está na seção abaixo.</t>
        </is>
      </c>
    </row>
    <row r="22">
      <c r="A22" s="3" t="inlineStr">
        <is>
          <t>Divisão do IBS bruto (ADCT arts. 131-132; LC 227/2026 arts. 51 e 114-116): mesmos parâmetros alpha_a e c_a do Estudo 06</t>
        </is>
      </c>
    </row>
    <row r="23">
      <c r="A23" s="6" t="inlineStr">
        <is>
          <t>Ano</t>
        </is>
      </c>
      <c r="B23" s="6" t="inlineStr">
        <is>
          <t>alpha_a (histórico)</t>
        </is>
      </c>
      <c r="C23" s="6" t="inlineStr">
        <is>
          <t>c_a (CGIBS)</t>
        </is>
      </c>
      <c r="D23" s="6" t="inlineStr">
        <is>
          <t>rho (Seguro-Receita)</t>
        </is>
      </c>
      <c r="E23" s="6" t="inlineStr">
        <is>
          <t>IBS histórico (R$)</t>
        </is>
      </c>
      <c r="F23" s="6" t="inlineStr">
        <is>
          <t>CGIBS (R$)</t>
        </is>
      </c>
      <c r="G23" s="6" t="inlineStr">
        <is>
          <t>Seguro-Receita (R$)</t>
        </is>
      </c>
      <c r="H23" s="6" t="inlineStr">
        <is>
          <t>IBS destino, líquido (R$)</t>
        </is>
      </c>
      <c r="I23" s="6" t="inlineStr">
        <is>
          <t>Total (confere IBS bruto)</t>
        </is>
      </c>
    </row>
    <row r="24">
      <c r="A24" s="15" t="n">
        <v>2029</v>
      </c>
      <c r="B24" s="18" t="n">
        <v>0.8</v>
      </c>
      <c r="C24" s="18" t="n">
        <v>0.02</v>
      </c>
      <c r="D24" s="18" t="n">
        <v>0.05</v>
      </c>
      <c r="E24" s="9">
        <f>G14*B24</f>
        <v/>
      </c>
      <c r="F24" s="9">
        <f>G14*(1-B24)*(1-D24)*C24</f>
        <v/>
      </c>
      <c r="G24" s="9">
        <f>G14*(1-B24)*D24</f>
        <v/>
      </c>
      <c r="H24" s="9">
        <f>G14*(1-B24)*(1-D24)*(1-C24)</f>
        <v/>
      </c>
      <c r="I24" s="9">
        <f>E24+F24+G24+H24</f>
        <v/>
      </c>
    </row>
    <row r="25">
      <c r="A25" s="15" t="n">
        <v>2030</v>
      </c>
      <c r="B25" s="18" t="n">
        <v>0.8</v>
      </c>
      <c r="C25" s="18" t="n">
        <v>0.01</v>
      </c>
      <c r="D25" s="18" t="n">
        <v>0.05</v>
      </c>
      <c r="E25" s="9">
        <f>G15*B25</f>
        <v/>
      </c>
      <c r="F25" s="9">
        <f>G15*(1-B25)*(1-D25)*C25</f>
        <v/>
      </c>
      <c r="G25" s="9">
        <f>G15*(1-B25)*D25</f>
        <v/>
      </c>
      <c r="H25" s="9">
        <f>G15*(1-B25)*(1-D25)*(1-C25)</f>
        <v/>
      </c>
      <c r="I25" s="9">
        <f>E25+F25+G25+H25</f>
        <v/>
      </c>
    </row>
    <row r="26">
      <c r="A26" s="15" t="n">
        <v>2031</v>
      </c>
      <c r="B26" s="18" t="n">
        <v>0.8</v>
      </c>
      <c r="C26" s="18" t="n">
        <v>0.0067</v>
      </c>
      <c r="D26" s="18" t="n">
        <v>0.05</v>
      </c>
      <c r="E26" s="9">
        <f>G16*B26</f>
        <v/>
      </c>
      <c r="F26" s="9">
        <f>G16*(1-B26)*(1-D26)*C26</f>
        <v/>
      </c>
      <c r="G26" s="9">
        <f>G16*(1-B26)*D26</f>
        <v/>
      </c>
      <c r="H26" s="9">
        <f>G16*(1-B26)*(1-D26)*(1-C26)</f>
        <v/>
      </c>
      <c r="I26" s="9">
        <f>E26+F26+G26+H26</f>
        <v/>
      </c>
    </row>
    <row r="27">
      <c r="A27" s="15" t="n">
        <v>2032</v>
      </c>
      <c r="B27" s="18" t="n">
        <v>0.8</v>
      </c>
      <c r="C27" s="18" t="n">
        <v>0.005</v>
      </c>
      <c r="D27" s="18" t="n">
        <v>0.05</v>
      </c>
      <c r="E27" s="9">
        <f>G17*B27</f>
        <v/>
      </c>
      <c r="F27" s="9">
        <f>G17*(1-B27)*(1-D27)*C27</f>
        <v/>
      </c>
      <c r="G27" s="9">
        <f>G17*(1-B27)*D27</f>
        <v/>
      </c>
      <c r="H27" s="9">
        <f>G17*(1-B27)*(1-D27)*(1-C27)</f>
        <v/>
      </c>
      <c r="I27" s="9">
        <f>E27+F27+G27+H27</f>
        <v/>
      </c>
    </row>
    <row r="28">
      <c r="A28" s="15" t="n">
        <v>2033</v>
      </c>
      <c r="B28" s="18" t="n">
        <v>0.9</v>
      </c>
      <c r="C28" s="18" t="n">
        <v>0.002</v>
      </c>
      <c r="D28" s="18" t="n">
        <v>0.05</v>
      </c>
      <c r="E28" s="9">
        <f>G18*B28</f>
        <v/>
      </c>
      <c r="F28" s="9">
        <f>G18*(1-B28)*(1-D28)*C28</f>
        <v/>
      </c>
      <c r="G28" s="9">
        <f>G18*(1-B28)*D28</f>
        <v/>
      </c>
      <c r="H28" s="9">
        <f>G18*(1-B28)*(1-D28)*(1-C28)</f>
        <v/>
      </c>
      <c r="I28" s="9">
        <f>E28+F28+G28+H28</f>
        <v/>
      </c>
    </row>
    <row r="30" ht="65" customHeight="1">
      <c r="A30" s="12" t="inlineStr">
        <is>
          <t>alpha_a = fração do IBS bruto distribuída pelo critério histórico; (1-alpha_a) vai pelo critério destino, mas antes sofre duas deduções, nesta ordem: rho=5% (Seguro-Receita, ADCT art. 132, art. 110 LC 227/2026 -- forma a Receita-Base do art. 111) e c_a (CGIBS, art. 51 e art. 118 §4º LC 227/2026, sobre a Receita-Base). As quatro colunas de reais somam exatamente o IBS bruto do ano (coluna "Total" confere isso). alpha_a e c_a são os mesmos parâmetros já publicados no Estudo 06 (estudos/ibs-projecao-arrecadacao-br.html), usados aqui só para mostrar o tamanho de cada fatia no agregado nacional, sem entrar em qual estado ou município recebe o quê.</t>
        </is>
      </c>
    </row>
  </sheetData>
  <mergeCells count="8">
    <mergeCell ref="A2:F2"/>
    <mergeCell ref="A4:H4"/>
    <mergeCell ref="A20:H20"/>
    <mergeCell ref="A1:F1"/>
    <mergeCell ref="A9:C9"/>
    <mergeCell ref="A11:H11"/>
    <mergeCell ref="A22:I22"/>
    <mergeCell ref="A30:I3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2026-10-04T02:32:22Z</dcterms:created>
  <dcterms:modified xmlns:dcterms="http://purl.org/dc/terms/" xmlns:xsi="http://www.w3.org/2001/XMLSchema-instance" xsi:type="dcterms:W3CDTF">2026-10-04T02:32:22Z</dcterms:modified>
</cp:coreProperties>
</file>