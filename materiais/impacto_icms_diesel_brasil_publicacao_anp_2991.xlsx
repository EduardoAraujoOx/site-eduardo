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43d97f467d1bcf/FUCAPE/"/>
    </mc:Choice>
  </mc:AlternateContent>
  <xr:revisionPtr revIDLastSave="0" documentId="8_{B839CB59-553D-43FB-9A1C-3A26F4C67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x_Grafico" sheetId="6" r:id="rId1"/>
    <sheet name="Grafico_UF" sheetId="1" r:id="rId2"/>
    <sheet name="UF_Resumo" sheetId="2" r:id="rId3"/>
    <sheet name="Metodologia" sheetId="3" r:id="rId4"/>
    <sheet name="Dados_ANP_UF" sheetId="4" r:id="rId5"/>
    <sheet name="Fontes" sheetId="5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F31" i="2"/>
  <c r="C31" i="2"/>
  <c r="B31" i="2"/>
  <c r="G30" i="2"/>
  <c r="F30" i="2"/>
  <c r="D30" i="2"/>
  <c r="E30" i="2" s="1"/>
  <c r="G29" i="2"/>
  <c r="F29" i="2"/>
  <c r="D29" i="2"/>
  <c r="E29" i="2" s="1"/>
  <c r="G28" i="2"/>
  <c r="F28" i="2"/>
  <c r="D28" i="2"/>
  <c r="G27" i="2"/>
  <c r="F27" i="2"/>
  <c r="D27" i="2"/>
  <c r="E27" i="2" s="1"/>
  <c r="G26" i="2"/>
  <c r="F26" i="2"/>
  <c r="D26" i="2"/>
  <c r="E26" i="2" s="1"/>
  <c r="H26" i="2" s="1"/>
  <c r="G25" i="2"/>
  <c r="F25" i="2"/>
  <c r="D25" i="2"/>
  <c r="E25" i="2" s="1"/>
  <c r="H25" i="2" s="1"/>
  <c r="G24" i="2"/>
  <c r="F24" i="2"/>
  <c r="D24" i="2"/>
  <c r="E24" i="2" s="1"/>
  <c r="G23" i="2"/>
  <c r="F23" i="2"/>
  <c r="D23" i="2"/>
  <c r="E23" i="2" s="1"/>
  <c r="H23" i="2" s="1"/>
  <c r="G22" i="2"/>
  <c r="F22" i="2"/>
  <c r="D22" i="2"/>
  <c r="E22" i="2" s="1"/>
  <c r="G21" i="2"/>
  <c r="F21" i="2"/>
  <c r="D21" i="2"/>
  <c r="E21" i="2" s="1"/>
  <c r="G20" i="2"/>
  <c r="F20" i="2"/>
  <c r="D20" i="2"/>
  <c r="E20" i="2" s="1"/>
  <c r="G19" i="2"/>
  <c r="F19" i="2"/>
  <c r="D19" i="2"/>
  <c r="E19" i="2" s="1"/>
  <c r="H19" i="2" s="1"/>
  <c r="G18" i="2"/>
  <c r="F18" i="2"/>
  <c r="D18" i="2"/>
  <c r="E18" i="2" s="1"/>
  <c r="G17" i="2"/>
  <c r="F17" i="2"/>
  <c r="D17" i="2"/>
  <c r="E17" i="2" s="1"/>
  <c r="G16" i="2"/>
  <c r="F16" i="2"/>
  <c r="D16" i="2"/>
  <c r="E16" i="2" s="1"/>
  <c r="G15" i="2"/>
  <c r="F15" i="2"/>
  <c r="D15" i="2"/>
  <c r="E15" i="2" s="1"/>
  <c r="G14" i="2"/>
  <c r="F14" i="2"/>
  <c r="D14" i="2"/>
  <c r="E14" i="2" s="1"/>
  <c r="G13" i="2"/>
  <c r="F13" i="2"/>
  <c r="D13" i="2"/>
  <c r="E13" i="2" s="1"/>
  <c r="G12" i="2"/>
  <c r="F12" i="2"/>
  <c r="D12" i="2"/>
  <c r="E12" i="2" s="1"/>
  <c r="G11" i="2"/>
  <c r="F11" i="2"/>
  <c r="D11" i="2"/>
  <c r="E11" i="2" s="1"/>
  <c r="G10" i="2"/>
  <c r="F10" i="2"/>
  <c r="D10" i="2"/>
  <c r="E10" i="2" s="1"/>
  <c r="G9" i="2"/>
  <c r="F9" i="2"/>
  <c r="D9" i="2"/>
  <c r="E9" i="2" s="1"/>
  <c r="G8" i="2"/>
  <c r="F8" i="2"/>
  <c r="D8" i="2"/>
  <c r="E8" i="2" s="1"/>
  <c r="G7" i="2"/>
  <c r="F7" i="2"/>
  <c r="D7" i="2"/>
  <c r="E7" i="2" s="1"/>
  <c r="G6" i="2"/>
  <c r="F6" i="2"/>
  <c r="D6" i="2"/>
  <c r="E6" i="2" s="1"/>
  <c r="G5" i="2"/>
  <c r="F5" i="2"/>
  <c r="D5" i="2"/>
  <c r="E5" i="2" s="1"/>
  <c r="H5" i="2" s="1"/>
  <c r="G4" i="2"/>
  <c r="F4" i="2"/>
  <c r="D4" i="2"/>
  <c r="E4" i="2" s="1"/>
  <c r="H22" i="2" l="1"/>
  <c r="I22" i="2" s="1"/>
  <c r="J22" i="2" s="1"/>
  <c r="H20" i="2"/>
  <c r="I20" i="2" s="1"/>
  <c r="J20" i="2" s="1"/>
  <c r="H13" i="2"/>
  <c r="I13" i="2" s="1"/>
  <c r="J13" i="2" s="1"/>
  <c r="H9" i="2"/>
  <c r="I9" i="2" s="1"/>
  <c r="J9" i="2" s="1"/>
  <c r="H15" i="2"/>
  <c r="I15" i="2" s="1"/>
  <c r="J15" i="2" s="1"/>
  <c r="H11" i="2"/>
  <c r="I11" i="2" s="1"/>
  <c r="J11" i="2" s="1"/>
  <c r="H16" i="2"/>
  <c r="I16" i="2" s="1"/>
  <c r="J16" i="2" s="1"/>
  <c r="H6" i="2"/>
  <c r="I6" i="2" s="1"/>
  <c r="J6" i="2" s="1"/>
  <c r="H10" i="2"/>
  <c r="I10" i="2" s="1"/>
  <c r="J10" i="2" s="1"/>
  <c r="H12" i="2"/>
  <c r="I12" i="2" s="1"/>
  <c r="J12" i="2" s="1"/>
  <c r="H18" i="2"/>
  <c r="I18" i="2" s="1"/>
  <c r="J18" i="2" s="1"/>
  <c r="H27" i="2"/>
  <c r="I27" i="2" s="1"/>
  <c r="J27" i="2" s="1"/>
  <c r="H8" i="2"/>
  <c r="I8" i="2" s="1"/>
  <c r="J8" i="2" s="1"/>
  <c r="H17" i="2"/>
  <c r="I17" i="2" s="1"/>
  <c r="J17" i="2" s="1"/>
  <c r="H24" i="2"/>
  <c r="I24" i="2" s="1"/>
  <c r="J24" i="2" s="1"/>
  <c r="H30" i="2"/>
  <c r="I30" i="2" s="1"/>
  <c r="J30" i="2" s="1"/>
  <c r="H29" i="2"/>
  <c r="I29" i="2" s="1"/>
  <c r="J29" i="2" s="1"/>
  <c r="H14" i="2"/>
  <c r="I14" i="2" s="1"/>
  <c r="J14" i="2" s="1"/>
  <c r="H21" i="2"/>
  <c r="I21" i="2" s="1"/>
  <c r="J21" i="2" s="1"/>
  <c r="H7" i="2"/>
  <c r="I7" i="2" s="1"/>
  <c r="J7" i="2" s="1"/>
  <c r="D31" i="2"/>
  <c r="E28" i="2"/>
  <c r="I26" i="2"/>
  <c r="J26" i="2" s="1"/>
  <c r="I25" i="2"/>
  <c r="J25" i="2" s="1"/>
  <c r="I23" i="2"/>
  <c r="J23" i="2" s="1"/>
  <c r="I19" i="2"/>
  <c r="J19" i="2" s="1"/>
  <c r="I5" i="2"/>
  <c r="J5" i="2" s="1"/>
  <c r="H4" i="2"/>
  <c r="L27" i="2" l="1"/>
  <c r="K27" i="2"/>
  <c r="K8" i="2"/>
  <c r="L8" i="2"/>
  <c r="L17" i="2"/>
  <c r="K17" i="2"/>
  <c r="K24" i="2"/>
  <c r="L24" i="2"/>
  <c r="L30" i="2"/>
  <c r="K30" i="2"/>
  <c r="L29" i="2"/>
  <c r="K29" i="2"/>
  <c r="K14" i="2"/>
  <c r="L14" i="2"/>
  <c r="L21" i="2"/>
  <c r="K21" i="2"/>
  <c r="K7" i="2"/>
  <c r="L7" i="2"/>
  <c r="K26" i="2"/>
  <c r="L26" i="2"/>
  <c r="K25" i="2"/>
  <c r="L25" i="2"/>
  <c r="K23" i="2"/>
  <c r="L23" i="2"/>
  <c r="K22" i="2"/>
  <c r="L22" i="2"/>
  <c r="K20" i="2"/>
  <c r="L20" i="2"/>
  <c r="K19" i="2"/>
  <c r="L19" i="2"/>
  <c r="L18" i="2"/>
  <c r="K18" i="2"/>
  <c r="L16" i="2"/>
  <c r="K16" i="2"/>
  <c r="L15" i="2"/>
  <c r="K15" i="2"/>
  <c r="L13" i="2"/>
  <c r="K13" i="2"/>
  <c r="L12" i="2"/>
  <c r="K12" i="2"/>
  <c r="K11" i="2"/>
  <c r="L11" i="2"/>
  <c r="K10" i="2"/>
  <c r="L10" i="2"/>
  <c r="K9" i="2"/>
  <c r="L9" i="2"/>
  <c r="K6" i="2"/>
  <c r="L6" i="2"/>
  <c r="L5" i="2"/>
  <c r="K5" i="2"/>
  <c r="H28" i="2"/>
  <c r="E31" i="2"/>
  <c r="D20" i="6"/>
  <c r="D3" i="6"/>
  <c r="D10" i="6"/>
  <c r="D29" i="6"/>
  <c r="D21" i="6"/>
  <c r="D6" i="6"/>
  <c r="D22" i="6"/>
  <c r="D12" i="6"/>
  <c r="D27" i="6"/>
  <c r="D16" i="6"/>
  <c r="D11" i="6"/>
  <c r="D25" i="6"/>
  <c r="D5" i="6"/>
  <c r="D4" i="6"/>
  <c r="D13" i="6"/>
  <c r="D8" i="6"/>
  <c r="D17" i="6"/>
  <c r="D9" i="6"/>
  <c r="D14" i="6"/>
  <c r="D19" i="6"/>
  <c r="D18" i="6"/>
  <c r="D7" i="6"/>
  <c r="D15" i="6"/>
  <c r="D28" i="6"/>
  <c r="D23" i="6"/>
  <c r="I4" i="2"/>
  <c r="J4" i="2" s="1"/>
  <c r="K4" i="2" l="1"/>
  <c r="L4" i="2"/>
  <c r="B10" i="6"/>
  <c r="C10" i="6"/>
  <c r="H31" i="2"/>
  <c r="I28" i="2"/>
  <c r="B9" i="6"/>
  <c r="C9" i="6"/>
  <c r="B12" i="6"/>
  <c r="C12" i="6"/>
  <c r="B17" i="6"/>
  <c r="C17" i="6"/>
  <c r="B21" i="6"/>
  <c r="C21" i="6"/>
  <c r="B8" i="6"/>
  <c r="C8" i="6"/>
  <c r="B28" i="6"/>
  <c r="C28" i="6"/>
  <c r="B22" i="6"/>
  <c r="C22" i="6"/>
  <c r="B13" i="6"/>
  <c r="C13" i="6"/>
  <c r="B18" i="6"/>
  <c r="C18" i="6"/>
  <c r="B7" i="6"/>
  <c r="C7" i="6"/>
  <c r="B23" i="6"/>
  <c r="C23" i="6"/>
  <c r="B20" i="6"/>
  <c r="C20" i="6"/>
  <c r="B3" i="6"/>
  <c r="C3" i="6"/>
  <c r="B6" i="6"/>
  <c r="C6" i="6"/>
  <c r="B4" i="6"/>
  <c r="C4" i="6"/>
  <c r="B14" i="6"/>
  <c r="C14" i="6"/>
  <c r="B19" i="6"/>
  <c r="C19" i="6"/>
  <c r="D26" i="6"/>
  <c r="B29" i="6"/>
  <c r="C29" i="6"/>
  <c r="B27" i="6"/>
  <c r="C27" i="6"/>
  <c r="B16" i="6"/>
  <c r="C16" i="6"/>
  <c r="B11" i="6"/>
  <c r="C11" i="6"/>
  <c r="B25" i="6"/>
  <c r="C25" i="6"/>
  <c r="B5" i="6"/>
  <c r="C5" i="6"/>
  <c r="B15" i="6"/>
  <c r="C15" i="6"/>
  <c r="J28" i="2" l="1"/>
  <c r="I31" i="2"/>
  <c r="B26" i="6"/>
  <c r="C26" i="6"/>
  <c r="J31" i="2" l="1"/>
  <c r="K28" i="2"/>
  <c r="L28" i="2"/>
  <c r="D24" i="6"/>
  <c r="D30" i="6" s="1"/>
  <c r="L31" i="2" l="1"/>
  <c r="K31" i="2"/>
  <c r="B24" i="6"/>
  <c r="B30" i="6" s="1"/>
  <c r="C24" i="6" l="1"/>
  <c r="C30" i="6" s="1"/>
</calcChain>
</file>

<file path=xl/sharedStrings.xml><?xml version="1.0" encoding="utf-8"?>
<sst xmlns="http://schemas.openxmlformats.org/spreadsheetml/2006/main" count="483" uniqueCount="256">
  <si>
    <t>UF</t>
  </si>
  <si>
    <t>Total</t>
  </si>
  <si>
    <t>SP</t>
  </si>
  <si>
    <t>MG</t>
  </si>
  <si>
    <t>PR</t>
  </si>
  <si>
    <t>RS</t>
  </si>
  <si>
    <t>BA</t>
  </si>
  <si>
    <t>Estimativa resumida por UF</t>
  </si>
  <si>
    <t>Abr/2025 (m³)</t>
  </si>
  <si>
    <t>Mai/2025 (m³)</t>
  </si>
  <si>
    <t>Bimestre (m³)</t>
  </si>
  <si>
    <t>Bimestre (litros)</t>
  </si>
  <si>
    <t>Participação
importada</t>
  </si>
  <si>
    <t>ICMS do diesel
(R$/litro)</t>
  </si>
  <si>
    <t>Perda bruta total
(Estado + municípios)</t>
  </si>
  <si>
    <t>Compensação federal
(50%)</t>
  </si>
  <si>
    <t>Perda total
remanescente</t>
  </si>
  <si>
    <t>Perda líquida
do Estado</t>
  </si>
  <si>
    <t>Perda líquida
dos municípios</t>
  </si>
  <si>
    <t>Unidade da federação</t>
  </si>
  <si>
    <t>Base ANP</t>
  </si>
  <si>
    <t>Abr + Mai</t>
  </si>
  <si>
    <t>m³ × 1.000</t>
  </si>
  <si>
    <t>Premissa do cenário (%)</t>
  </si>
  <si>
    <t>Premissa tributária</t>
  </si>
  <si>
    <t>Litros × Part. × ICMS</t>
  </si>
  <si>
    <t>Bruta × 50%</t>
  </si>
  <si>
    <t>Bruta - Compensação</t>
  </si>
  <si>
    <t>Remanescente × 75%</t>
  </si>
  <si>
    <t>Remanescente × 25%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</si>
  <si>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</si>
  <si>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</si>
  <si>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</si>
  <si>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</si>
  <si>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</si>
  <si>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</si>
  <si>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</si>
  <si>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</si>
  <si>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</si>
  <si>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</si>
  <si>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</si>
  <si>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</si>
  <si>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</si>
  <si>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</si>
  <si>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</si>
  <si>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</si>
  <si>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</si>
  <si>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</si>
  <si>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</si>
  <si>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</si>
  <si>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</si>
  <si>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</si>
  <si>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</si>
  <si>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</si>
  <si>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SERGIPE</t>
  </si>
  <si>
    <t>SÃO PAULO</t>
  </si>
  <si>
    <t>TOCANTINS</t>
  </si>
  <si>
    <t>TOTAL BRASIL (proxy)</t>
  </si>
  <si>
    <t>Como ler cada coluna</t>
  </si>
  <si>
    <t>Coluna</t>
  </si>
  <si>
    <t>O que significa</t>
  </si>
  <si>
    <t>Memória de cálculo</t>
  </si>
  <si>
    <t>Abr/2025 e Mai/2025</t>
  </si>
  <si>
    <t>Volumes de vendas de óleo diesel</t>
  </si>
  <si>
    <t>Dados copiados da aba Dados_ANP_UF.</t>
  </si>
  <si>
    <t>Soma dos dois meses usados como proxy</t>
  </si>
  <si>
    <t>Abr/2025 + Mai/2025.</t>
  </si>
  <si>
    <t>Conversão do bimestre de m³ para litros</t>
  </si>
  <si>
    <t>Bimestre (m³) × 1.000.</t>
  </si>
  <si>
    <t>Participação importada (%)</t>
  </si>
  <si>
    <t>Parcela do mercado atendida por diesel importado</t>
  </si>
  <si>
    <t>Premissa fixa de 27,0, definida na aba Metodologia.</t>
  </si>
  <si>
    <t>ICMS do diesel</t>
  </si>
  <si>
    <t>Valor específico por litro do ICMS</t>
  </si>
  <si>
    <t>Premissa fixa de R$ 1,17 por litro, definida na aba Metodologia.</t>
  </si>
  <si>
    <t>Perda bruta total</t>
  </si>
  <si>
    <t>Perda estimada antes da compensação</t>
  </si>
  <si>
    <t>Bimestre (litros) × (Participação importada/100) × ICMS.</t>
  </si>
  <si>
    <t>Compensação federal</t>
  </si>
  <si>
    <t>Valor da compensação</t>
  </si>
  <si>
    <t>Perda bruta total × 50,0%.</t>
  </si>
  <si>
    <t>Perda total remanescente</t>
  </si>
  <si>
    <t>Perda líquida total após a compensação federal</t>
  </si>
  <si>
    <t>Perda bruta total - Compensação federal.</t>
  </si>
  <si>
    <t>Perda líquida do Estado</t>
  </si>
  <si>
    <t>Parcela remanescente do ente estadual</t>
  </si>
  <si>
    <t>Perda total remanescente × 75,0%.</t>
  </si>
  <si>
    <t>Perda líquida dos municípios</t>
  </si>
  <si>
    <t>Parcela remanescente dos municípios</t>
  </si>
  <si>
    <t>Perda total remanescente - Perda líquida do Estado.</t>
  </si>
  <si>
    <t>Metodologia da estimativa</t>
  </si>
  <si>
    <t>Esta planilha estima a perda líquida de arrecadação por UF na proposta de zeragem temporária do ICMS sobre o diesel importado, já descontada a compensação federal de 50%.</t>
  </si>
  <si>
    <t>O que há em cada aba</t>
  </si>
  <si>
    <t>Aba</t>
  </si>
  <si>
    <t>Conteúdo</t>
  </si>
  <si>
    <t>Como usar</t>
  </si>
  <si>
    <t>Grafico_UF</t>
  </si>
  <si>
    <t>Resumo visual principal do estudo</t>
  </si>
  <si>
    <t>Leitura rápida do impacto líquido por UF, separando ente estadual e municípios.</t>
  </si>
  <si>
    <t>UF_Resumo</t>
  </si>
  <si>
    <t>Tabela principal com uma linha por UF</t>
  </si>
  <si>
    <t>Conferir volumes, memória de cálculo e resultados detalhados.</t>
  </si>
  <si>
    <t>Metodologia</t>
  </si>
  <si>
    <t>Premissas, fórmulas e limitações</t>
  </si>
  <si>
    <t>Entender exatamente como a estimativa foi construída.</t>
  </si>
  <si>
    <t>Dados_ANP_UF</t>
  </si>
  <si>
    <t>Base bruta da ANP usada na proxy</t>
  </si>
  <si>
    <t>Conferir as vendas de óleo diesel por UF em abr/2025 e mai/2025.</t>
  </si>
  <si>
    <t>Fontes</t>
  </si>
  <si>
    <t>Lista consolidada de links auditáveis</t>
  </si>
  <si>
    <t>Abrir as fontes públicas que embasam a planilha.</t>
  </si>
  <si>
    <t>Premissas do cenário-base</t>
  </si>
  <si>
    <t>Item</t>
  </si>
  <si>
    <t>Valor</t>
  </si>
  <si>
    <t>Unidade</t>
  </si>
  <si>
    <t>Descrição</t>
  </si>
  <si>
    <t>Fonte</t>
  </si>
  <si>
    <t>Período-proxy</t>
  </si>
  <si>
    <t>abr/2025 + mai/2025</t>
  </si>
  <si>
    <t>mês</t>
  </si>
  <si>
    <t>Bimestre usado como proxy para o período de maior efeito prático da medida.</t>
  </si>
  <si>
    <t>Base de volumes</t>
  </si>
  <si>
    <t>Vendas de óleo diesel pelas distribuidoras</t>
  </si>
  <si>
    <t>conceito</t>
  </si>
  <si>
    <t>A ANP divulga vendas em m³ por UF; a planilha usa abr/2025 e mai/2025.</t>
  </si>
  <si>
    <t>Participação importada</t>
  </si>
  <si>
    <t>% do mercado</t>
  </si>
  <si>
    <t>Dado oficial mais recente da ANP: a parcela importada de diesel A, em janeiro de 2026, representou 29,91% das vendas nacionais.</t>
  </si>
  <si>
    <t>https://www.gov.br/anp/pt-br/centrais-de-conteudo/publicacoes/sinteses/scc/2026/sintese-volumes-janeiro-26.pdf</t>
  </si>
  <si>
    <t>ICMS do diesel B</t>
  </si>
  <si>
    <t>R$/litro</t>
  </si>
  <si>
    <t>ICMS ad rem uniforme nacionalmente em 2026.</t>
  </si>
  <si>
    <t>https://www.gov.br/anp/pt-br/assuntos/precos-e-defesa-da-concorrencia/precos/arq-sintese-semanal/2026/sintese-precos-11.pdf</t>
  </si>
  <si>
    <t>% da perda bruta</t>
  </si>
  <si>
    <t>A proposta pública fala em compensar 50,0% da perda bruta.</t>
  </si>
  <si>
    <t>https://agenciabrasil.ebc.com.br/economia/noticia/2026-03/governo-propoe-que-estados-zerem-icms-do-diesel-importado</t>
  </si>
  <si>
    <t>Quota-parte dos municípios</t>
  </si>
  <si>
    <t>% do ICMS</t>
  </si>
  <si>
    <t>Parcela constitucional do ICMS pertencente aos municípios: 25,0%.</t>
  </si>
  <si>
    <t>https://portal.stf.jus.br/constituicao-supremo/artigo.asp?abrirArtigo=158&amp;abrirBase=CF</t>
  </si>
  <si>
    <t>Escopo da desoneração</t>
  </si>
  <si>
    <t>Diesel importado</t>
  </si>
  <si>
    <t>escopo</t>
  </si>
  <si>
    <t>Hipótese de trabalho da planilha: a desoneração incide apenas sobre o diesel importado, conforme a redação predominante dos comunicados públicos; a memória de cálculo formal da Fazenda ainda não foi divulgada.</t>
  </si>
  <si>
    <t>https://comsefaz.org.br/novo/estados-e-ministerio-da-fazenda-discutem-medidas-para-mitigar-efeitos-da-crise-dos-combustiveis/</t>
  </si>
  <si>
    <t>Nota de interpretação</t>
  </si>
  <si>
    <t>A comunicação pública da proposta ainda tem ambiguidades.</t>
  </si>
  <si>
    <t>texto</t>
  </si>
  <si>
    <t>Agência Brasil, Comsefaz e Reuters descrevem a medida como redução do ICMS sobre a importação de diesel; outras reportagens usaram redações mais amplas. Por isso, esta planilha permanece ancorada na hipótese mais explicitamente publicada: diesel importado.</t>
  </si>
  <si>
    <t>Etapa</t>
  </si>
  <si>
    <t>Expressão</t>
  </si>
  <si>
    <t>Leitura</t>
  </si>
  <si>
    <t>Observação</t>
  </si>
  <si>
    <t>1. Bimestre (m³)</t>
  </si>
  <si>
    <t>'=Abr/2025 + Mai/2025</t>
  </si>
  <si>
    <t>Soma dos volumes mensais de vendas de óleo diesel por UF.</t>
  </si>
  <si>
    <t>Os dados vêm da base aberta da ANP.</t>
  </si>
  <si>
    <t>2. Bimestre (litros)</t>
  </si>
  <si>
    <t>'=Bimestre (m³) × 1.000</t>
  </si>
  <si>
    <t>Converte m³ em litros.</t>
  </si>
  <si>
    <t>1 m³ = 1.000 litros.</t>
  </si>
  <si>
    <t>3. Perda bruta total</t>
  </si>
  <si>
    <t>Estimativa da perda antes da compensação federal.</t>
  </si>
  <si>
    <t>Abrange estado + municípios.</t>
  </si>
  <si>
    <t>4. Compensação federal</t>
  </si>
  <si>
    <t>Metade da perda bruta.</t>
  </si>
  <si>
    <t>Supõe aderência ao desenho público da proposta.</t>
  </si>
  <si>
    <t>5. Perda total remanescente</t>
  </si>
  <si>
    <t>Perda líquida total após a ajuda da União.</t>
  </si>
  <si>
    <t>É o valor econômico central desta planilha.</t>
  </si>
  <si>
    <t>6. Perda líquida do Estado</t>
  </si>
  <si>
    <t>Parcela remanescente do ente estadual.</t>
  </si>
  <si>
    <t>Pressupõe divisão padrão do ICMS.</t>
  </si>
  <si>
    <t>7. Perda líquida dos municípios</t>
  </si>
  <si>
    <t>Parcela remanescente dos municípios.</t>
  </si>
  <si>
    <t>Limitações e cuidados de interpretação</t>
  </si>
  <si>
    <t>Esta é uma proxy mecânica baseada em volumes de vendas de óleo diesel pelas distribuidoras, não uma estimativa oficial de arrecadação executada.</t>
  </si>
  <si>
    <t>O preço do petróleo não altera diretamente a renúncia por litro nesta metodologia, porque o ICMS do diesel está em regime ad rem de R$ 1,17 por litro. O efeito do petróleo é indireto, via participação importada e volume.</t>
  </si>
  <si>
    <t>O impacto fiscal efetivo por UF pode diferir conforme o local de internalização do diesel importado e a forma operacional de repasse da compensação federal.</t>
  </si>
  <si>
    <t>Dados brutos ANP por UF</t>
  </si>
  <si>
    <t>Base aberta da ANP usada como proxy do estudo: vendas de óleo diesel pelas distribuidoras, em abr/2025 e mai/2025, por UF.</t>
  </si>
  <si>
    <t>URL do arquivo bruto: https://www.gov.br/anp/pt-br/centrais-de-conteudo/dados-abertos/arquivos/vdpb/vendas-derivados-petroleo-e-etanol/vendas-combustiveis-m3-1990-2025.csv</t>
  </si>
  <si>
    <t>ANO</t>
  </si>
  <si>
    <t>MÊS</t>
  </si>
  <si>
    <t>GRANDE REGIÃO</t>
  </si>
  <si>
    <t>UNIDADE DA FEDERAÇÃO</t>
  </si>
  <si>
    <t>PRODUTO</t>
  </si>
  <si>
    <t>VENDAS (m³)</t>
  </si>
  <si>
    <t>URL</t>
  </si>
  <si>
    <t>ABR</t>
  </si>
  <si>
    <t>REGIÃO NORTE</t>
  </si>
  <si>
    <t>ÓLEO DIESEL</t>
  </si>
  <si>
    <t>https://www.gov.br/anp/pt-br/centrais-de-conteudo/dados-abertos/arquivos/vdpb/vendas-derivados-petroleo-e-etanol/vendas-combustiveis-m3-1990-2025.csv</t>
  </si>
  <si>
    <t>MAI</t>
  </si>
  <si>
    <t>REGIÃO NORDESTE</t>
  </si>
  <si>
    <t>REGIÃO CENTRO-OESTE</t>
  </si>
  <si>
    <t>REGIÃO SUDESTE</t>
  </si>
  <si>
    <t>REGIÃO SUL</t>
  </si>
  <si>
    <t>Fontes e links auditáveis</t>
  </si>
  <si>
    <t>Lista consolidada das premissas e das fontes públicas usadas na construção da planilha.</t>
  </si>
  <si>
    <t>Fato / premissa</t>
  </si>
  <si>
    <t>Valor / resumo</t>
  </si>
  <si>
    <t>Proposta federal</t>
  </si>
  <si>
    <t>Zerar temporariamente o ICMS sobre a importação de diesel; compensação de 50%; validade até 31/05/2026.</t>
  </si>
  <si>
    <t>ICMS do diesel em 2026</t>
  </si>
  <si>
    <t>R$ 1,17 por litro, em regime ad rem uniforme nacionalmente.</t>
  </si>
  <si>
    <t>Base legal do ICMS do diesel</t>
  </si>
  <si>
    <t>Convênio ICMS 199/2022, alterado pelo Convênio ICMS 113/2025.</t>
  </si>
  <si>
    <t>https://www.confaz.fazenda.gov.br/legislacao/convenios/2022/CV199_22</t>
  </si>
  <si>
    <t>Parâmetro de participação importada</t>
  </si>
  <si>
    <t>Dado oficial mais recente da ANP: 29,91% em janeiro de 2026 para a parcela importada de diesel A nas vendas nacionais.</t>
  </si>
  <si>
    <t>Quota-parte municipal</t>
  </si>
  <si>
    <t>25% do produto da arrecadação do ICMS pertence aos municípios.</t>
  </si>
  <si>
    <t>Base ANP por UF</t>
  </si>
  <si>
    <t>Vendas de óleo diesel pelas distribuidoras, em m³, por UF, abr/2025 e mai/2025.</t>
  </si>
  <si>
    <t>Preço do petróleo</t>
  </si>
  <si>
    <t>Não altera diretamente a renúncia por litro nesta metodologia; afeta apenas indiretamente participação importada e volume.</t>
  </si>
  <si>
    <t>https://www.reuters.com/business/energy/brazils-petrobras-raise-diesel-prices-after-oil-shock-2026-03-13/</t>
  </si>
  <si>
    <t>Observação interpretativa</t>
  </si>
  <si>
    <t>Os valores anunciados pelo governo e pelos estados ainda estavam sujeitos a verificação técnica; a memória de cálculo pública não foi detalhada.</t>
  </si>
  <si>
    <t>Tratamento do ICMS na importação</t>
  </si>
  <si>
    <t>No regime monofásico, o diesel tem alíquota específica uniforme; a diferença da importação está no ponto de incidência/recolhimento, não em uma alíquota maior.</t>
  </si>
  <si>
    <t>https://www.sefaz.pe.gov.br/Legislacao/Tributaria/Documents/Legislacao/Informativos%20Fiscais/COMBUST%C3%8DVEIS%20-%20ICMS%20MONOF%C3%81SICO.pdf</t>
  </si>
  <si>
    <t>Perda líquida do ente estadual</t>
  </si>
  <si>
    <t>MT</t>
  </si>
  <si>
    <t>GO</t>
  </si>
  <si>
    <t>SC</t>
  </si>
  <si>
    <t>PA</t>
  </si>
  <si>
    <t>RJ</t>
  </si>
  <si>
    <t>MS</t>
  </si>
  <si>
    <t>ES</t>
  </si>
  <si>
    <t>AM</t>
  </si>
  <si>
    <t>PE</t>
  </si>
  <si>
    <t>MA</t>
  </si>
  <si>
    <t>CE</t>
  </si>
  <si>
    <t>DF</t>
  </si>
  <si>
    <t>TO</t>
  </si>
  <si>
    <t>RO</t>
  </si>
  <si>
    <t>RN</t>
  </si>
  <si>
    <t>AL</t>
  </si>
  <si>
    <t>SE</t>
  </si>
  <si>
    <t>PB</t>
  </si>
  <si>
    <t>AC</t>
  </si>
  <si>
    <t>PI</t>
  </si>
  <si>
    <t>AP</t>
  </si>
  <si>
    <t>RR</t>
  </si>
  <si>
    <t>Obs.: Os volumes de abr/2025 e mai/2025 são vendas de óleo diesel pelas distribuidoras, em m³, extraídas da base aberta da ANP. Cenário-base desta planilha: participação importada de 29,91%, ICMS do diesel B de R$ 1,17 por litro, compensação federal de 50,0% da perda bruta e quota municipal de 25,0% do ICMS.</t>
  </si>
  <si>
    <t>Bimestre (litros) * (@Participação importada/100) *@ ICMS</t>
  </si>
  <si>
    <t>Perda bruta total * (@Compensação/100)</t>
  </si>
  <si>
    <t>Perda bruta total - Compensação federal</t>
  </si>
  <si>
    <t>Perda total remanescente * ((100-@Quota municipal)/100)</t>
  </si>
  <si>
    <t>Perda total remanescente -@ Perda líquida do Estado</t>
  </si>
  <si>
    <t xml:space="preserve">Gráfico </t>
  </si>
  <si>
    <t>Fonte dos volumes: ANP, vendas de óleo diesel pelas distribuidoras por UF em abr/2025 e mai/2025. Fórmulas e premissas na aba Metodologia. Elaboração: Eduardo Araujo (Economista, Auditor de Finanças, Professor da Fucape Business School).</t>
  </si>
  <si>
    <t>Estimativa de perda líquida (em R$ milhões) de arrecadação por UF na proposta de zeragem temporária do ICMS em abril e maio/2026 sobre o diesel importado, já descontada a compensação federal de 50%.</t>
  </si>
  <si>
    <t>Fonte: ANP; CONFAZ
Observação: A estimativa é baseada em vendas de diesel por distribuidoras em abr/2025 e mai/2025. Considerou-se um cenário-base de participação importada de 29,91%, de ICMS do diesel B de R$ 1,17 por litro, compensação federal de 50,0% da perda bruta e quota municipal de 25,0% do ICMS. Elaboração: Eduardo Araujo (Economista, Auditor de Finanças, Professor da Fucape Business School).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</si>
</sst>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#.##0000"/>
    <numFmt numFmtId="169" formatCode="#,##0.000"/>
    <numFmt numFmtId="170" formatCode="0.0"/>
    <numFmt numFmtId="171" formatCode="\R\$\ #,##0.00"/>
    <numFmt numFmtId="177" formatCode="_-* #,##0.0_-;\-* #,##0.0_-;_-* &quot;-&quot;??_-;_-@_-"/>
  </numFmts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b/>
      <sz val="10"/>
      <name val="Calibri"/>
    </font>
    <font>
      <sz val="12"/>
      <color theme="10"/>
      <name val="Calibri"/>
      <family val="2"/>
      <scheme val="minor"/>
    </font>
    <font>
      <sz val="9"/>
      <color rgb="FF404040"/>
      <name val="Calibri"/>
    </font>
    <font>
      <b/>
      <sz val="9"/>
      <color rgb="FF404040"/>
      <name val="Calibri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9"/>
      <color rgb="FF40404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</font>
    <font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DCE6F1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medium">
        <color indexed="64"/>
      </right>
      <top style="medium">
        <color indexed="64"/>
      </top>
      <bottom style="thin">
        <color rgb="FFB7C9D6"/>
      </bottom>
      <diagonal/>
    </border>
    <border>
      <left/>
      <right style="medium">
        <color indexed="64"/>
      </right>
      <top style="thin">
        <color rgb="FFB7C9D6"/>
      </top>
      <bottom style="thin">
        <color rgb="FFB7C9D6"/>
      </bottom>
      <diagonal/>
    </border>
    <border>
      <left/>
      <right style="medium">
        <color indexed="64"/>
      </right>
      <top style="thin">
        <color rgb="FFB7C9D6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7C9D6"/>
      </bottom>
      <diagonal/>
    </border>
    <border>
      <left style="medium">
        <color indexed="64"/>
      </left>
      <right style="medium">
        <color indexed="64"/>
      </right>
      <top style="thin">
        <color rgb="FFB7C9D6"/>
      </top>
      <bottom style="thin">
        <color rgb="FFB7C9D6"/>
      </bottom>
      <diagonal/>
    </border>
    <border>
      <left style="medium">
        <color indexed="64"/>
      </left>
      <right style="medium">
        <color indexed="64"/>
      </right>
      <top style="thin">
        <color rgb="FFB7C9D6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thin">
        <color indexed="64"/>
      </top>
      <bottom style="medium">
        <color indexed="64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43" fontId="9" fillId="0" borderId="0" applyFont="0" applyFill="0" applyBorder="0" applyAlignment="0" applyProtection="0"/>
  </cellStyleXfs>
  <cellXfs count="73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6" fillId="0" borderId="0" xfId="1"/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9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69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170" fontId="2" fillId="5" borderId="1" xfId="0" applyNumberFormat="1" applyFont="1" applyFill="1" applyBorder="1" applyAlignment="1">
      <alignment horizontal="right" vertical="center"/>
    </xf>
    <xf numFmtId="171" fontId="2" fillId="5" borderId="1" xfId="0" applyNumberFormat="1" applyFont="1" applyFill="1" applyBorder="1" applyAlignment="1">
      <alignment horizontal="right" vertical="center"/>
    </xf>
    <xf numFmtId="169" fontId="3" fillId="6" borderId="1" xfId="0" applyNumberFormat="1" applyFont="1" applyFill="1" applyBorder="1" applyAlignment="1">
      <alignment horizontal="right" vertical="center"/>
    </xf>
    <xf numFmtId="3" fontId="3" fillId="6" borderId="1" xfId="0" applyNumberFormat="1" applyFont="1" applyFill="1" applyBorder="1" applyAlignment="1">
      <alignment horizontal="right" vertical="center"/>
    </xf>
    <xf numFmtId="170" fontId="3" fillId="6" borderId="1" xfId="0" applyNumberFormat="1" applyFont="1" applyFill="1" applyBorder="1" applyAlignment="1">
      <alignment horizontal="right" vertical="center"/>
    </xf>
    <xf numFmtId="171" fontId="3" fillId="6" borderId="1" xfId="0" applyNumberFormat="1" applyFont="1" applyFill="1" applyBorder="1" applyAlignment="1">
      <alignment horizontal="right" vertical="center"/>
    </xf>
    <xf numFmtId="170" fontId="2" fillId="0" borderId="1" xfId="0" applyNumberFormat="1" applyFont="1" applyBorder="1" applyAlignment="1">
      <alignment vertical="top" wrapText="1"/>
    </xf>
    <xf numFmtId="171" fontId="2" fillId="0" borderId="1" xfId="0" applyNumberFormat="1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2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wrapText="1"/>
    </xf>
    <xf numFmtId="0" fontId="3" fillId="3" borderId="1" xfId="0" applyFont="1" applyFill="1" applyBorder="1"/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171" fontId="2" fillId="0" borderId="6" xfId="0" applyNumberFormat="1" applyFont="1" applyBorder="1" applyAlignment="1">
      <alignment horizontal="right" vertical="center"/>
    </xf>
    <xf numFmtId="171" fontId="2" fillId="5" borderId="6" xfId="0" applyNumberFormat="1" applyFont="1" applyFill="1" applyBorder="1" applyAlignment="1">
      <alignment horizontal="right" vertical="center"/>
    </xf>
    <xf numFmtId="171" fontId="3" fillId="6" borderId="6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71" fontId="2" fillId="0" borderId="8" xfId="0" applyNumberFormat="1" applyFont="1" applyBorder="1" applyAlignment="1">
      <alignment horizontal="right" vertical="center"/>
    </xf>
    <xf numFmtId="171" fontId="2" fillId="5" borderId="8" xfId="0" applyNumberFormat="1" applyFont="1" applyFill="1" applyBorder="1" applyAlignment="1">
      <alignment horizontal="right" vertical="center"/>
    </xf>
    <xf numFmtId="171" fontId="3" fillId="6" borderId="9" xfId="0" applyNumberFormat="1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171" fontId="2" fillId="0" borderId="11" xfId="0" applyNumberFormat="1" applyFont="1" applyBorder="1" applyAlignment="1">
      <alignment horizontal="right" vertical="center"/>
    </xf>
    <xf numFmtId="171" fontId="2" fillId="5" borderId="11" xfId="0" applyNumberFormat="1" applyFont="1" applyFill="1" applyBorder="1" applyAlignment="1">
      <alignment horizontal="right" vertical="center"/>
    </xf>
    <xf numFmtId="171" fontId="3" fillId="6" borderId="12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2" borderId="1" xfId="0" applyFont="1" applyFill="1" applyBorder="1"/>
    <xf numFmtId="0" fontId="13" fillId="0" borderId="0" xfId="0" applyFont="1" applyAlignment="1">
      <alignment wrapText="1"/>
    </xf>
    <xf numFmtId="170" fontId="2" fillId="0" borderId="1" xfId="0" applyNumberFormat="1" applyFont="1" applyBorder="1" applyAlignment="1">
      <alignment horizontal="center" vertical="center"/>
    </xf>
    <xf numFmtId="170" fontId="2" fillId="0" borderId="15" xfId="0" applyNumberFormat="1" applyFont="1" applyBorder="1" applyAlignment="1">
      <alignment horizontal="center" vertical="center"/>
    </xf>
    <xf numFmtId="177" fontId="2" fillId="0" borderId="14" xfId="2" applyNumberFormat="1" applyFont="1" applyBorder="1" applyAlignment="1">
      <alignment horizontal="center" vertical="center"/>
    </xf>
    <xf numFmtId="170" fontId="2" fillId="0" borderId="17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center" wrapText="1"/>
    </xf>
    <xf numFmtId="0" fontId="16" fillId="0" borderId="0" xfId="0" applyFont="1" applyAlignment="1"/>
    <xf numFmtId="0" fontId="14" fillId="0" borderId="18" xfId="0" applyFont="1" applyBorder="1" applyAlignment="1">
      <alignment horizontal="center" vertical="center" wrapText="1"/>
    </xf>
    <xf numFmtId="0" fontId="17" fillId="7" borderId="16" xfId="0" applyFont="1" applyFill="1" applyBorder="1" applyAlignment="1">
      <alignment wrapText="1"/>
    </xf>
    <xf numFmtId="0" fontId="0" fillId="7" borderId="14" xfId="0" applyFont="1" applyFill="1" applyBorder="1" applyAlignment="1">
      <alignment wrapText="1"/>
    </xf>
    <xf numFmtId="0" fontId="18" fillId="0" borderId="13" xfId="0" applyFont="1" applyBorder="1" applyAlignment="1">
      <alignment horizontal="left" wrapText="1"/>
    </xf>
  </cellXfs>
  <cellStyles count="3">
    <cellStyle name="Hyperlink" xfId="1" xr:uid="{00000000-0005-0000-0000-000001000000}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Perda líquida estimada de arrecadação por UF (R$</a:t>
            </a:r>
            <a:r>
              <a:rPr lang="pt-BR" b="1" baseline="0"/>
              <a:t> milhões)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5222097587750131E-2"/>
          <c:y val="9.1850396188108044E-2"/>
          <c:w val="0.90645674511794172"/>
          <c:h val="0.7895538779168126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Aux_Grafico!$B$2</c:f>
              <c:strCache>
                <c:ptCount val="1"/>
                <c:pt idx="0">
                  <c:v>Perda líquida do ente estadual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Aux_Grafico!$A$3:$A$29</c:f>
              <c:strCache>
                <c:ptCount val="27"/>
                <c:pt idx="0">
                  <c:v>SP</c:v>
                </c:pt>
                <c:pt idx="1">
                  <c:v>MG</c:v>
                </c:pt>
                <c:pt idx="2">
                  <c:v>PR</c:v>
                </c:pt>
                <c:pt idx="3">
                  <c:v>RS</c:v>
                </c:pt>
                <c:pt idx="4">
                  <c:v>BA</c:v>
                </c:pt>
                <c:pt idx="5">
                  <c:v>MT</c:v>
                </c:pt>
                <c:pt idx="6">
                  <c:v>GO</c:v>
                </c:pt>
                <c:pt idx="7">
                  <c:v>SC</c:v>
                </c:pt>
                <c:pt idx="8">
                  <c:v>PA</c:v>
                </c:pt>
                <c:pt idx="9">
                  <c:v>RJ</c:v>
                </c:pt>
                <c:pt idx="10">
                  <c:v>MS</c:v>
                </c:pt>
                <c:pt idx="11">
                  <c:v>ES</c:v>
                </c:pt>
                <c:pt idx="12">
                  <c:v>AM</c:v>
                </c:pt>
                <c:pt idx="13">
                  <c:v>PE</c:v>
                </c:pt>
                <c:pt idx="14">
                  <c:v>MA</c:v>
                </c:pt>
                <c:pt idx="15">
                  <c:v>CE</c:v>
                </c:pt>
                <c:pt idx="16">
                  <c:v>DF</c:v>
                </c:pt>
                <c:pt idx="17">
                  <c:v>TO</c:v>
                </c:pt>
                <c:pt idx="18">
                  <c:v>RO</c:v>
                </c:pt>
                <c:pt idx="19">
                  <c:v>RN</c:v>
                </c:pt>
                <c:pt idx="20">
                  <c:v>AL</c:v>
                </c:pt>
                <c:pt idx="21">
                  <c:v>SE</c:v>
                </c:pt>
                <c:pt idx="22">
                  <c:v>PB</c:v>
                </c:pt>
                <c:pt idx="23">
                  <c:v>AC</c:v>
                </c:pt>
                <c:pt idx="24">
                  <c:v>PI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Aux_Grafico!$B$3:$B$29</c:f>
              <c:numCache>
                <c:formatCode>0.0</c:formatCode>
                <c:ptCount val="27"/>
                <c:pt idx="0">
                  <c:v>311.95472508</c:v>
                </c:pt>
                <c:pt idx="1">
                  <c:v>188.207654265</c:v>
                </c:pt>
                <c:pt idx="2">
                  <c:v>141.65187088499999</c:v>
                </c:pt>
                <c:pt idx="3">
                  <c:v>93.285168734999999</c:v>
                </c:pt>
                <c:pt idx="4">
                  <c:v>84.737776552499994</c:v>
                </c:pt>
                <c:pt idx="5">
                  <c:v>78.545261594999999</c:v>
                </c:pt>
                <c:pt idx="6">
                  <c:v>77.843850877500003</c:v>
                </c:pt>
                <c:pt idx="7">
                  <c:v>71.04346118250001</c:v>
                </c:pt>
                <c:pt idx="8">
                  <c:v>68.547037710000012</c:v>
                </c:pt>
                <c:pt idx="9">
                  <c:v>55.260809317500005</c:v>
                </c:pt>
                <c:pt idx="10">
                  <c:v>39.709819297499998</c:v>
                </c:pt>
                <c:pt idx="11">
                  <c:v>29.567801317500003</c:v>
                </c:pt>
                <c:pt idx="12">
                  <c:v>23.538115649999998</c:v>
                </c:pt>
                <c:pt idx="13">
                  <c:v>34.834490107500002</c:v>
                </c:pt>
                <c:pt idx="14">
                  <c:v>38.818414132500003</c:v>
                </c:pt>
                <c:pt idx="15">
                  <c:v>27.336544710000002</c:v>
                </c:pt>
                <c:pt idx="16">
                  <c:v>8.8576003725000003</c:v>
                </c:pt>
                <c:pt idx="17">
                  <c:v>26.8243824075</c:v>
                </c:pt>
                <c:pt idx="18">
                  <c:v>21.999398729999999</c:v>
                </c:pt>
                <c:pt idx="19">
                  <c:v>10.761565769999999</c:v>
                </c:pt>
                <c:pt idx="20">
                  <c:v>8.5662902325000001</c:v>
                </c:pt>
                <c:pt idx="21">
                  <c:v>9.3664451849999999</c:v>
                </c:pt>
                <c:pt idx="22">
                  <c:v>11.277506189999999</c:v>
                </c:pt>
                <c:pt idx="23">
                  <c:v>2.4349744424999997</c:v>
                </c:pt>
                <c:pt idx="24">
                  <c:v>15.833308267500001</c:v>
                </c:pt>
                <c:pt idx="25">
                  <c:v>2.1774358499999997</c:v>
                </c:pt>
                <c:pt idx="26">
                  <c:v>4.2901705200000002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B-4288-A3BD-A573CB780FA3}"/>
            </c:ext>
          </c:extLst>
        </c:ser>
        <c:ser>
          <c:idx val="1"/>
          <c:order val="1"/>
          <c:tx>
            <c:strRef>
              <c:f>Aux_Grafico!$C$2</c:f>
              <c:strCache>
                <c:ptCount val="1"/>
                <c:pt idx="0">
                  <c:v>Perda líquida dos municípios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Aux_Grafico!$A$3:$A$29</c:f>
              <c:strCache>
                <c:ptCount val="27"/>
                <c:pt idx="0">
                  <c:v>SP</c:v>
                </c:pt>
                <c:pt idx="1">
                  <c:v>MG</c:v>
                </c:pt>
                <c:pt idx="2">
                  <c:v>PR</c:v>
                </c:pt>
                <c:pt idx="3">
                  <c:v>RS</c:v>
                </c:pt>
                <c:pt idx="4">
                  <c:v>BA</c:v>
                </c:pt>
                <c:pt idx="5">
                  <c:v>MT</c:v>
                </c:pt>
                <c:pt idx="6">
                  <c:v>GO</c:v>
                </c:pt>
                <c:pt idx="7">
                  <c:v>SC</c:v>
                </c:pt>
                <c:pt idx="8">
                  <c:v>PA</c:v>
                </c:pt>
                <c:pt idx="9">
                  <c:v>RJ</c:v>
                </c:pt>
                <c:pt idx="10">
                  <c:v>MS</c:v>
                </c:pt>
                <c:pt idx="11">
                  <c:v>ES</c:v>
                </c:pt>
                <c:pt idx="12">
                  <c:v>AM</c:v>
                </c:pt>
                <c:pt idx="13">
                  <c:v>PE</c:v>
                </c:pt>
                <c:pt idx="14">
                  <c:v>MA</c:v>
                </c:pt>
                <c:pt idx="15">
                  <c:v>CE</c:v>
                </c:pt>
                <c:pt idx="16">
                  <c:v>DF</c:v>
                </c:pt>
                <c:pt idx="17">
                  <c:v>TO</c:v>
                </c:pt>
                <c:pt idx="18">
                  <c:v>RO</c:v>
                </c:pt>
                <c:pt idx="19">
                  <c:v>RN</c:v>
                </c:pt>
                <c:pt idx="20">
                  <c:v>AL</c:v>
                </c:pt>
                <c:pt idx="21">
                  <c:v>SE</c:v>
                </c:pt>
                <c:pt idx="22">
                  <c:v>PB</c:v>
                </c:pt>
                <c:pt idx="23">
                  <c:v>AC</c:v>
                </c:pt>
                <c:pt idx="24">
                  <c:v>PI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Aux_Grafico!$C$3:$C$29</c:f>
              <c:numCache>
                <c:formatCode>0.0</c:formatCode>
                <c:ptCount val="27"/>
                <c:pt idx="0">
                  <c:v>103.98490836000001</c:v>
                </c:pt>
                <c:pt idx="1">
                  <c:v>62.735884755000001</c:v>
                </c:pt>
                <c:pt idx="2">
                  <c:v>47.217290295000005</c:v>
                </c:pt>
                <c:pt idx="3">
                  <c:v>31.095056245000002</c:v>
                </c:pt>
                <c:pt idx="4">
                  <c:v>28.245925517499998</c:v>
                </c:pt>
                <c:pt idx="5">
                  <c:v>26.181753864999997</c:v>
                </c:pt>
                <c:pt idx="6">
                  <c:v>25.9479502925</c:v>
                </c:pt>
                <c:pt idx="7">
                  <c:v>23.6811537275</c:v>
                </c:pt>
                <c:pt idx="8">
                  <c:v>22.849012569999999</c:v>
                </c:pt>
                <c:pt idx="9">
                  <c:v>18.420269772499999</c:v>
                </c:pt>
                <c:pt idx="10">
                  <c:v>13.236606432499999</c:v>
                </c:pt>
                <c:pt idx="11">
                  <c:v>9.8559337725000002</c:v>
                </c:pt>
                <c:pt idx="12">
                  <c:v>7.8460385499999994</c:v>
                </c:pt>
                <c:pt idx="13">
                  <c:v>11.6114967025</c:v>
                </c:pt>
                <c:pt idx="14">
                  <c:v>12.9394713775</c:v>
                </c:pt>
                <c:pt idx="15">
                  <c:v>9.1121815700000006</c:v>
                </c:pt>
                <c:pt idx="16">
                  <c:v>2.9525334575</c:v>
                </c:pt>
                <c:pt idx="17">
                  <c:v>8.9414608025</c:v>
                </c:pt>
                <c:pt idx="18">
                  <c:v>7.3331329099999998</c:v>
                </c:pt>
                <c:pt idx="19">
                  <c:v>3.5871885899999998</c:v>
                </c:pt>
                <c:pt idx="20">
                  <c:v>2.8554300775000003</c:v>
                </c:pt>
                <c:pt idx="21">
                  <c:v>3.122148395</c:v>
                </c:pt>
                <c:pt idx="22">
                  <c:v>3.7591687299999998</c:v>
                </c:pt>
                <c:pt idx="23">
                  <c:v>0.81165814749999998</c:v>
                </c:pt>
                <c:pt idx="24">
                  <c:v>5.2777694225000005</c:v>
                </c:pt>
                <c:pt idx="25">
                  <c:v>0.72581194999999998</c:v>
                </c:pt>
                <c:pt idx="26">
                  <c:v>1.43005684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B-4288-A3BD-A573CB78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6952896"/>
        <c:axId val="1266951936"/>
      </c:barChart>
      <c:catAx>
        <c:axId val="126695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6951936"/>
        <c:crosses val="autoZero"/>
        <c:auto val="1"/>
        <c:lblAlgn val="ctr"/>
        <c:lblOffset val="100"/>
        <c:noMultiLvlLbl val="0"/>
      </c:catAx>
      <c:valAx>
        <c:axId val="12669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695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100852</xdr:rowOff>
    </xdr:from>
    <xdr:to>
      <xdr:col>6</xdr:col>
      <xdr:colOff>0</xdr:colOff>
      <xdr:row>28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711C0D-C9F6-428D-A0B7-9965B5456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tabSelected="1" zoomScale="85" zoomScaleNormal="85" workbookViewId="0">
      <selection activeCell="H6" sqref="H6"/>
    </sheetView>
  </sheetViews>
  <sheetFormatPr defaultRowHeight="15" x14ac:dyDescent="0.25"/>
  <cols>
    <col min="1" max="1" width="11.85546875" customWidth="1"/>
    <col min="2" max="2" width="12.7109375" bestFit="1" customWidth="1"/>
    <col min="3" max="3" width="16.42578125" bestFit="1" customWidth="1"/>
    <col min="4" max="4" width="10.42578125" customWidth="1"/>
  </cols>
  <sheetData>
    <row r="1" spans="1:5" ht="86.25" customHeight="1" thickBot="1" x14ac:dyDescent="0.3">
      <c r="A1" s="70" t="s">
        <v>254</v>
      </c>
      <c r="B1" s="71"/>
      <c r="C1" s="71"/>
      <c r="D1" s="71"/>
    </row>
    <row r="2" spans="1:5" ht="45" customHeight="1" thickBot="1" x14ac:dyDescent="0.3">
      <c r="A2" s="69" t="s">
        <v>0</v>
      </c>
      <c r="B2" s="69" t="s">
        <v>223</v>
      </c>
      <c r="C2" s="69" t="s">
        <v>87</v>
      </c>
      <c r="D2" s="69" t="s">
        <v>1</v>
      </c>
      <c r="E2" s="38"/>
    </row>
    <row r="3" spans="1:5" x14ac:dyDescent="0.25">
      <c r="A3" s="63" t="s">
        <v>2</v>
      </c>
      <c r="B3" s="62">
        <f>UF_Resumo!K29/1000000</f>
        <v>311.95472508</v>
      </c>
      <c r="C3" s="62">
        <f>UF_Resumo!L29/1000000</f>
        <v>103.98490836000001</v>
      </c>
      <c r="D3" s="62">
        <f>UF_Resumo!J29/1000000</f>
        <v>415.93963344000002</v>
      </c>
    </row>
    <row r="4" spans="1:5" x14ac:dyDescent="0.25">
      <c r="A4" s="64" t="s">
        <v>3</v>
      </c>
      <c r="B4" s="59">
        <f>UF_Resumo!K16/1000000</f>
        <v>188.207654265</v>
      </c>
      <c r="C4" s="59">
        <f>UF_Resumo!L16/1000000</f>
        <v>62.735884755000001</v>
      </c>
      <c r="D4" s="59">
        <f>UF_Resumo!J16/1000000</f>
        <v>250.94353902</v>
      </c>
    </row>
    <row r="5" spans="1:5" x14ac:dyDescent="0.25">
      <c r="A5" s="64" t="s">
        <v>4</v>
      </c>
      <c r="B5" s="59">
        <f>UF_Resumo!K17/1000000</f>
        <v>141.65187088499999</v>
      </c>
      <c r="C5" s="59">
        <f>UF_Resumo!L17/1000000</f>
        <v>47.217290295000005</v>
      </c>
      <c r="D5" s="59">
        <f>UF_Resumo!J17/1000000</f>
        <v>188.86916118000002</v>
      </c>
    </row>
    <row r="6" spans="1:5" x14ac:dyDescent="0.25">
      <c r="A6" s="64" t="s">
        <v>5</v>
      </c>
      <c r="B6" s="59">
        <f>UF_Resumo!K24/1000000</f>
        <v>93.285168734999999</v>
      </c>
      <c r="C6" s="59">
        <f>UF_Resumo!L24/1000000</f>
        <v>31.095056245000002</v>
      </c>
      <c r="D6" s="59">
        <f>UF_Resumo!J24/1000000</f>
        <v>124.38022498000001</v>
      </c>
    </row>
    <row r="7" spans="1:5" x14ac:dyDescent="0.25">
      <c r="A7" s="64" t="s">
        <v>6</v>
      </c>
      <c r="B7" s="59">
        <f>UF_Resumo!K8/1000000</f>
        <v>84.737776552499994</v>
      </c>
      <c r="C7" s="59">
        <f>UF_Resumo!L8/1000000</f>
        <v>28.245925517499998</v>
      </c>
      <c r="D7" s="59">
        <f>UF_Resumo!J8/1000000</f>
        <v>112.98370206999999</v>
      </c>
    </row>
    <row r="8" spans="1:5" x14ac:dyDescent="0.25">
      <c r="A8" s="64" t="s">
        <v>224</v>
      </c>
      <c r="B8" s="59">
        <f>UF_Resumo!K14/1000000</f>
        <v>78.545261594999999</v>
      </c>
      <c r="C8" s="59">
        <f>UF_Resumo!L14/1000000</f>
        <v>26.181753864999997</v>
      </c>
      <c r="D8" s="59">
        <f>UF_Resumo!J14/1000000</f>
        <v>104.72701545999999</v>
      </c>
    </row>
    <row r="9" spans="1:5" x14ac:dyDescent="0.25">
      <c r="A9" s="64" t="s">
        <v>225</v>
      </c>
      <c r="B9" s="59">
        <f>UF_Resumo!K12/1000000</f>
        <v>77.843850877500003</v>
      </c>
      <c r="C9" s="59">
        <f>UF_Resumo!L12/1000000</f>
        <v>25.9479502925</v>
      </c>
      <c r="D9" s="59">
        <f>UF_Resumo!J12/1000000</f>
        <v>103.79180117</v>
      </c>
    </row>
    <row r="10" spans="1:5" x14ac:dyDescent="0.25">
      <c r="A10" s="64" t="s">
        <v>226</v>
      </c>
      <c r="B10" s="59">
        <f>UF_Resumo!K27/1000000</f>
        <v>71.04346118250001</v>
      </c>
      <c r="C10" s="59">
        <f>UF_Resumo!L27/1000000</f>
        <v>23.6811537275</v>
      </c>
      <c r="D10" s="59">
        <f>UF_Resumo!J27/1000000</f>
        <v>94.72461491</v>
      </c>
    </row>
    <row r="11" spans="1:5" x14ac:dyDescent="0.25">
      <c r="A11" s="64" t="s">
        <v>227</v>
      </c>
      <c r="B11" s="59">
        <f>UF_Resumo!K19/1000000</f>
        <v>68.547037710000012</v>
      </c>
      <c r="C11" s="59">
        <f>UF_Resumo!L19/1000000</f>
        <v>22.849012569999999</v>
      </c>
      <c r="D11" s="59">
        <f>UF_Resumo!J19/1000000</f>
        <v>91.396050279999997</v>
      </c>
    </row>
    <row r="12" spans="1:5" x14ac:dyDescent="0.25">
      <c r="A12" s="64" t="s">
        <v>228</v>
      </c>
      <c r="B12" s="59">
        <f>UF_Resumo!K22/1000000</f>
        <v>55.260809317500005</v>
      </c>
      <c r="C12" s="59">
        <f>UF_Resumo!L22/1000000</f>
        <v>18.420269772499999</v>
      </c>
      <c r="D12" s="59">
        <f>UF_Resumo!J22/1000000</f>
        <v>73.681079089999997</v>
      </c>
    </row>
    <row r="13" spans="1:5" x14ac:dyDescent="0.25">
      <c r="A13" s="64" t="s">
        <v>229</v>
      </c>
      <c r="B13" s="59">
        <f>UF_Resumo!K15/1000000</f>
        <v>39.709819297499998</v>
      </c>
      <c r="C13" s="59">
        <f>UF_Resumo!L15/1000000</f>
        <v>13.236606432499999</v>
      </c>
      <c r="D13" s="59">
        <f>UF_Resumo!J15/1000000</f>
        <v>52.946425729999994</v>
      </c>
    </row>
    <row r="14" spans="1:5" x14ac:dyDescent="0.25">
      <c r="A14" s="64" t="s">
        <v>230</v>
      </c>
      <c r="B14" s="59">
        <f>UF_Resumo!K11/1000000</f>
        <v>29.567801317500003</v>
      </c>
      <c r="C14" s="59">
        <f>UF_Resumo!L11/1000000</f>
        <v>9.8559337725000002</v>
      </c>
      <c r="D14" s="59">
        <f>UF_Resumo!J11/1000000</f>
        <v>39.423735090000001</v>
      </c>
    </row>
    <row r="15" spans="1:5" x14ac:dyDescent="0.25">
      <c r="A15" s="64" t="s">
        <v>231</v>
      </c>
      <c r="B15" s="59">
        <f>UF_Resumo!K7/1000000</f>
        <v>23.538115649999998</v>
      </c>
      <c r="C15" s="59">
        <f>UF_Resumo!L7/1000000</f>
        <v>7.8460385499999994</v>
      </c>
      <c r="D15" s="59">
        <f>UF_Resumo!J7/1000000</f>
        <v>31.384154199999998</v>
      </c>
    </row>
    <row r="16" spans="1:5" x14ac:dyDescent="0.25">
      <c r="A16" s="64" t="s">
        <v>232</v>
      </c>
      <c r="B16" s="59">
        <f>UF_Resumo!K20/1000000</f>
        <v>34.834490107500002</v>
      </c>
      <c r="C16" s="59">
        <f>UF_Resumo!L20/1000000</f>
        <v>11.6114967025</v>
      </c>
      <c r="D16" s="59">
        <f>UF_Resumo!J20/1000000</f>
        <v>46.445986810000001</v>
      </c>
    </row>
    <row r="17" spans="1:6" x14ac:dyDescent="0.25">
      <c r="A17" s="64" t="s">
        <v>233</v>
      </c>
      <c r="B17" s="59">
        <f>UF_Resumo!K13/1000000</f>
        <v>38.818414132500003</v>
      </c>
      <c r="C17" s="59">
        <f>UF_Resumo!L13/1000000</f>
        <v>12.9394713775</v>
      </c>
      <c r="D17" s="59">
        <f>UF_Resumo!J13/1000000</f>
        <v>51.757885510000001</v>
      </c>
    </row>
    <row r="18" spans="1:6" x14ac:dyDescent="0.25">
      <c r="A18" s="64" t="s">
        <v>234</v>
      </c>
      <c r="B18" s="59">
        <f>UF_Resumo!K9/1000000</f>
        <v>27.336544710000002</v>
      </c>
      <c r="C18" s="59">
        <f>UF_Resumo!L9/1000000</f>
        <v>9.1121815700000006</v>
      </c>
      <c r="D18" s="59">
        <f>UF_Resumo!J9/1000000</f>
        <v>36.448726280000002</v>
      </c>
    </row>
    <row r="19" spans="1:6" x14ac:dyDescent="0.25">
      <c r="A19" s="64" t="s">
        <v>235</v>
      </c>
      <c r="B19" s="59">
        <f>UF_Resumo!K10/1000000</f>
        <v>8.8576003725000003</v>
      </c>
      <c r="C19" s="59">
        <f>UF_Resumo!L10/1000000</f>
        <v>2.9525334575</v>
      </c>
      <c r="D19" s="59">
        <f>UF_Resumo!J10/1000000</f>
        <v>11.81013383</v>
      </c>
    </row>
    <row r="20" spans="1:6" x14ac:dyDescent="0.25">
      <c r="A20" s="64" t="s">
        <v>236</v>
      </c>
      <c r="B20" s="59">
        <f>UF_Resumo!K30/1000000</f>
        <v>26.8243824075</v>
      </c>
      <c r="C20" s="59">
        <f>UF_Resumo!L30/1000000</f>
        <v>8.9414608025</v>
      </c>
      <c r="D20" s="59">
        <f>UF_Resumo!J30/1000000</f>
        <v>35.76584321</v>
      </c>
    </row>
    <row r="21" spans="1:6" x14ac:dyDescent="0.25">
      <c r="A21" s="64" t="s">
        <v>237</v>
      </c>
      <c r="B21" s="59">
        <f>UF_Resumo!K25/1000000</f>
        <v>21.999398729999999</v>
      </c>
      <c r="C21" s="59">
        <f>UF_Resumo!L25/1000000</f>
        <v>7.3331329099999998</v>
      </c>
      <c r="D21" s="59">
        <f>UF_Resumo!J25/1000000</f>
        <v>29.332531639999999</v>
      </c>
    </row>
    <row r="22" spans="1:6" x14ac:dyDescent="0.25">
      <c r="A22" s="64" t="s">
        <v>238</v>
      </c>
      <c r="B22" s="59">
        <f>UF_Resumo!K23/1000000</f>
        <v>10.761565769999999</v>
      </c>
      <c r="C22" s="59">
        <f>UF_Resumo!L23/1000000</f>
        <v>3.5871885899999998</v>
      </c>
      <c r="D22" s="59">
        <f>UF_Resumo!J23/1000000</f>
        <v>14.348754359999999</v>
      </c>
    </row>
    <row r="23" spans="1:6" x14ac:dyDescent="0.25">
      <c r="A23" s="64" t="s">
        <v>239</v>
      </c>
      <c r="B23" s="59">
        <f>UF_Resumo!K5/1000000</f>
        <v>8.5662902325000001</v>
      </c>
      <c r="C23" s="59">
        <f>UF_Resumo!L5/1000000</f>
        <v>2.8554300775000003</v>
      </c>
      <c r="D23" s="59">
        <f>UF_Resumo!J5/1000000</f>
        <v>11.421720310000001</v>
      </c>
    </row>
    <row r="24" spans="1:6" x14ac:dyDescent="0.25">
      <c r="A24" s="64" t="s">
        <v>240</v>
      </c>
      <c r="B24" s="59">
        <f>UF_Resumo!K28/1000000</f>
        <v>9.3664451849999999</v>
      </c>
      <c r="C24" s="59">
        <f>UF_Resumo!L28/1000000</f>
        <v>3.122148395</v>
      </c>
      <c r="D24" s="59">
        <f>UF_Resumo!J28/1000000</f>
        <v>12.48859358</v>
      </c>
    </row>
    <row r="25" spans="1:6" x14ac:dyDescent="0.25">
      <c r="A25" s="64" t="s">
        <v>241</v>
      </c>
      <c r="B25" s="59">
        <f>UF_Resumo!K18/1000000</f>
        <v>11.277506189999999</v>
      </c>
      <c r="C25" s="59">
        <f>UF_Resumo!L18/1000000</f>
        <v>3.7591687299999998</v>
      </c>
      <c r="D25" s="59">
        <f>UF_Resumo!J18/1000000</f>
        <v>15.036674919999999</v>
      </c>
    </row>
    <row r="26" spans="1:6" x14ac:dyDescent="0.25">
      <c r="A26" s="64" t="s">
        <v>242</v>
      </c>
      <c r="B26" s="59">
        <f>UF_Resumo!K4/1000000</f>
        <v>2.4349744424999997</v>
      </c>
      <c r="C26" s="59">
        <f>UF_Resumo!L4/1000000</f>
        <v>0.81165814749999998</v>
      </c>
      <c r="D26" s="59">
        <f>UF_Resumo!J4/1000000</f>
        <v>3.2466325899999999</v>
      </c>
    </row>
    <row r="27" spans="1:6" x14ac:dyDescent="0.25">
      <c r="A27" s="64" t="s">
        <v>243</v>
      </c>
      <c r="B27" s="59">
        <f>UF_Resumo!K21/1000000</f>
        <v>15.833308267500001</v>
      </c>
      <c r="C27" s="59">
        <f>UF_Resumo!L21/1000000</f>
        <v>5.2777694225000005</v>
      </c>
      <c r="D27" s="59">
        <f>UF_Resumo!J21/1000000</f>
        <v>21.111077690000002</v>
      </c>
    </row>
    <row r="28" spans="1:6" x14ac:dyDescent="0.25">
      <c r="A28" s="64" t="s">
        <v>244</v>
      </c>
      <c r="B28" s="59">
        <f>UF_Resumo!K6/1000000</f>
        <v>2.1774358499999997</v>
      </c>
      <c r="C28" s="59">
        <f>UF_Resumo!L6/1000000</f>
        <v>0.72581194999999998</v>
      </c>
      <c r="D28" s="59">
        <f>UF_Resumo!J6/1000000</f>
        <v>2.9032477999999999</v>
      </c>
    </row>
    <row r="29" spans="1:6" x14ac:dyDescent="0.25">
      <c r="A29" s="65" t="s">
        <v>245</v>
      </c>
      <c r="B29" s="60">
        <f>UF_Resumo!K26/1000000</f>
        <v>4.2901705200000002</v>
      </c>
      <c r="C29" s="60">
        <f>UF_Resumo!L26/1000000</f>
        <v>1.43005684</v>
      </c>
      <c r="D29" s="60">
        <f>UF_Resumo!J26/1000000</f>
        <v>5.72022736</v>
      </c>
    </row>
    <row r="30" spans="1:6" ht="15.75" thickBot="1" x14ac:dyDescent="0.3">
      <c r="A30" s="66" t="s">
        <v>1</v>
      </c>
      <c r="B30" s="61">
        <f>SUM(B3:B29)</f>
        <v>1487.2718793824997</v>
      </c>
      <c r="C30" s="61">
        <f>SUM(C3:C29)</f>
        <v>495.75729312750008</v>
      </c>
      <c r="D30" s="61">
        <f>SUM(D3:D29)</f>
        <v>1983.0291725100003</v>
      </c>
    </row>
    <row r="31" spans="1:6" ht="69.75" customHeight="1" x14ac:dyDescent="0.25">
      <c r="A31" s="72" t="s">
        <v>255</v>
      </c>
      <c r="B31" s="72"/>
      <c r="C31" s="72"/>
      <c r="D31" s="72"/>
      <c r="E31" s="68"/>
      <c r="F31" s="68"/>
    </row>
    <row r="32" spans="1:6" ht="36" customHeight="1" x14ac:dyDescent="0.25">
      <c r="A32" s="68"/>
      <c r="B32" s="68"/>
      <c r="C32" s="68"/>
      <c r="D32" s="68"/>
      <c r="E32" s="68"/>
      <c r="F32" s="68"/>
    </row>
  </sheetData>
  <mergeCells count="2">
    <mergeCell ref="A1:D1"/>
    <mergeCell ref="A31:D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showGridLines="0" zoomScale="130" zoomScaleNormal="130" workbookViewId="0">
      <selection sqref="A1:F1"/>
    </sheetView>
  </sheetViews>
  <sheetFormatPr defaultRowHeight="15" x14ac:dyDescent="0.25"/>
  <cols>
    <col min="1" max="1" width="18" customWidth="1"/>
    <col min="2" max="6" width="14" customWidth="1"/>
    <col min="10" max="13" width="13" hidden="1" customWidth="1"/>
  </cols>
  <sheetData>
    <row r="1" spans="1:6" ht="18.75" x14ac:dyDescent="0.3">
      <c r="A1" s="57" t="s">
        <v>252</v>
      </c>
      <c r="B1" s="29"/>
      <c r="C1" s="29"/>
      <c r="D1" s="29"/>
      <c r="E1" s="29"/>
      <c r="F1" s="29"/>
    </row>
    <row r="30" spans="1:6" x14ac:dyDescent="0.25">
      <c r="A30" s="58" t="s">
        <v>253</v>
      </c>
      <c r="B30" s="31"/>
      <c r="C30" s="31"/>
      <c r="D30" s="31"/>
      <c r="E30" s="31"/>
      <c r="F30" s="31"/>
    </row>
    <row r="31" spans="1:6" ht="39.75" customHeight="1" x14ac:dyDescent="0.25">
      <c r="A31" s="31"/>
      <c r="B31" s="31"/>
      <c r="C31" s="31"/>
      <c r="D31" s="31"/>
      <c r="E31" s="31"/>
      <c r="F31" s="31"/>
    </row>
  </sheetData>
  <mergeCells count="2">
    <mergeCell ref="A1:F1"/>
    <mergeCell ref="A30:F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showGridLines="0" zoomScaleNormal="100" workbookViewId="0">
      <selection activeCell="B31" sqref="B31"/>
    </sheetView>
  </sheetViews>
  <sheetFormatPr defaultRowHeight="15" x14ac:dyDescent="0.25"/>
  <cols>
    <col min="1" max="1" width="22" customWidth="1"/>
    <col min="2" max="4" width="15" customWidth="1"/>
    <col min="5" max="5" width="17" customWidth="1"/>
    <col min="6" max="6" width="13" customWidth="1"/>
    <col min="7" max="7" width="15" customWidth="1"/>
    <col min="8" max="8" width="18" customWidth="1"/>
    <col min="9" max="9" width="18" bestFit="1" customWidth="1"/>
    <col min="10" max="10" width="17.5703125" bestFit="1" customWidth="1"/>
    <col min="11" max="11" width="17.42578125" bestFit="1" customWidth="1"/>
    <col min="12" max="12" width="18" customWidth="1"/>
  </cols>
  <sheetData>
    <row r="1" spans="1:12" ht="21.95" customHeight="1" thickBot="1" x14ac:dyDescent="0.35">
      <c r="A1" s="28" t="s">
        <v>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 ht="36" customHeight="1" x14ac:dyDescent="0.25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9" t="s">
        <v>16</v>
      </c>
      <c r="K2" s="50" t="s">
        <v>17</v>
      </c>
      <c r="L2" s="45" t="s">
        <v>18</v>
      </c>
    </row>
    <row r="3" spans="1:12" ht="36" customHeight="1" x14ac:dyDescent="0.25">
      <c r="A3" s="4" t="s">
        <v>19</v>
      </c>
      <c r="B3" s="4" t="s">
        <v>20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0" t="s">
        <v>27</v>
      </c>
      <c r="K3" s="51" t="s">
        <v>28</v>
      </c>
      <c r="L3" s="46" t="s">
        <v>29</v>
      </c>
    </row>
    <row r="4" spans="1:12" ht="24" customHeight="1" x14ac:dyDescent="0.25">
      <c r="A4" s="5" t="s">
        <v>30</v>
      </c>
      <c r="B4" s="13">
        <v>8702.6</v>
      </c>
      <c r="C4" s="13">
        <v>9852.3960000000006</v>
      </c>
      <c r="D4" s="13">
        <f t="shared" ref="D4:D30" si="0">B4+C4</f>
        <v>18554.995999999999</v>
      </c>
      <c r="E4" s="14">
        <f t="shared" ref="E4:E30" si="1">D4*1000</f>
        <v>18554996</v>
      </c>
      <c r="F4" s="15">
        <f>Metodologia!$B$18</f>
        <v>29.91</v>
      </c>
      <c r="G4" s="16">
        <f>Metodologia!$B$19</f>
        <v>1.17</v>
      </c>
      <c r="H4" s="16">
        <f t="shared" ref="H4:H30" si="2">ROUND(E4*(F4/100)*G4,2)</f>
        <v>6493265.1900000004</v>
      </c>
      <c r="I4" s="16">
        <f>ROUND(H4*(Metodologia!$B$20/100),2)</f>
        <v>3246632.6</v>
      </c>
      <c r="J4" s="41">
        <f t="shared" ref="J4:J30" si="3">ROUND(H4-I4,2)</f>
        <v>3246632.59</v>
      </c>
      <c r="K4" s="52">
        <f>J4*0.75</f>
        <v>2434974.4424999999</v>
      </c>
      <c r="L4" s="47">
        <f>J4*0.25</f>
        <v>811658.14749999996</v>
      </c>
    </row>
    <row r="5" spans="1:12" ht="24" customHeight="1" x14ac:dyDescent="0.25">
      <c r="A5" s="5" t="s">
        <v>31</v>
      </c>
      <c r="B5" s="13">
        <v>32354</v>
      </c>
      <c r="C5" s="13">
        <v>32922.858</v>
      </c>
      <c r="D5" s="13">
        <f t="shared" si="0"/>
        <v>65276.858</v>
      </c>
      <c r="E5" s="14">
        <f t="shared" si="1"/>
        <v>65276858</v>
      </c>
      <c r="F5" s="15">
        <f>Metodologia!$B$18</f>
        <v>29.91</v>
      </c>
      <c r="G5" s="16">
        <f>Metodologia!$B$19</f>
        <v>1.17</v>
      </c>
      <c r="H5" s="16">
        <f t="shared" si="2"/>
        <v>22843440.629999999</v>
      </c>
      <c r="I5" s="16">
        <f>ROUND(H5*(Metodologia!$B$20/100),2)</f>
        <v>11421720.32</v>
      </c>
      <c r="J5" s="41">
        <f t="shared" si="3"/>
        <v>11421720.310000001</v>
      </c>
      <c r="K5" s="52">
        <f t="shared" ref="K5:K31" si="4">J5*0.75</f>
        <v>8566290.2324999999</v>
      </c>
      <c r="L5" s="47">
        <f t="shared" ref="L5:L31" si="5">J5*0.25</f>
        <v>2855430.0775000001</v>
      </c>
    </row>
    <row r="6" spans="1:12" ht="24" customHeight="1" x14ac:dyDescent="0.25">
      <c r="A6" s="5" t="s">
        <v>32</v>
      </c>
      <c r="B6" s="13">
        <v>8259.3240000000005</v>
      </c>
      <c r="C6" s="13">
        <v>8333.1759999999995</v>
      </c>
      <c r="D6" s="13">
        <f t="shared" si="0"/>
        <v>16592.5</v>
      </c>
      <c r="E6" s="14">
        <f t="shared" si="1"/>
        <v>16592500</v>
      </c>
      <c r="F6" s="15">
        <f>Metodologia!$B$18</f>
        <v>29.91</v>
      </c>
      <c r="G6" s="16">
        <f>Metodologia!$B$19</f>
        <v>1.17</v>
      </c>
      <c r="H6" s="16">
        <f t="shared" si="2"/>
        <v>5806495.5999999996</v>
      </c>
      <c r="I6" s="16">
        <f>ROUND(H6*(Metodologia!$B$20/100),2)</f>
        <v>2903247.8</v>
      </c>
      <c r="J6" s="41">
        <f t="shared" si="3"/>
        <v>2903247.8</v>
      </c>
      <c r="K6" s="52">
        <f t="shared" si="4"/>
        <v>2177435.8499999996</v>
      </c>
      <c r="L6" s="47">
        <f t="shared" si="5"/>
        <v>725811.95</v>
      </c>
    </row>
    <row r="7" spans="1:12" ht="24" customHeight="1" x14ac:dyDescent="0.25">
      <c r="A7" s="5" t="s">
        <v>33</v>
      </c>
      <c r="B7" s="13">
        <v>86968.494000000006</v>
      </c>
      <c r="C7" s="13">
        <v>92396.691000000006</v>
      </c>
      <c r="D7" s="13">
        <f t="shared" si="0"/>
        <v>179365.185</v>
      </c>
      <c r="E7" s="14">
        <f t="shared" si="1"/>
        <v>179365185</v>
      </c>
      <c r="F7" s="15">
        <f>Metodologia!$B$18</f>
        <v>29.91</v>
      </c>
      <c r="G7" s="16">
        <f>Metodologia!$B$19</f>
        <v>1.17</v>
      </c>
      <c r="H7" s="16">
        <f t="shared" si="2"/>
        <v>62768308.399999999</v>
      </c>
      <c r="I7" s="16">
        <f>ROUND(H7*(Metodologia!$B$20/100),2)</f>
        <v>31384154.199999999</v>
      </c>
      <c r="J7" s="41">
        <f t="shared" si="3"/>
        <v>31384154.199999999</v>
      </c>
      <c r="K7" s="52">
        <f t="shared" si="4"/>
        <v>23538115.649999999</v>
      </c>
      <c r="L7" s="47">
        <f t="shared" si="5"/>
        <v>7846038.5499999998</v>
      </c>
    </row>
    <row r="8" spans="1:12" ht="24" customHeight="1" x14ac:dyDescent="0.25">
      <c r="A8" s="5" t="s">
        <v>34</v>
      </c>
      <c r="B8" s="13">
        <v>313772.47600000002</v>
      </c>
      <c r="C8" s="13">
        <v>331946.45899999997</v>
      </c>
      <c r="D8" s="13">
        <f t="shared" si="0"/>
        <v>645718.93500000006</v>
      </c>
      <c r="E8" s="14">
        <f t="shared" si="1"/>
        <v>645718935</v>
      </c>
      <c r="F8" s="15">
        <f>Metodologia!$B$18</f>
        <v>29.91</v>
      </c>
      <c r="G8" s="16">
        <f>Metodologia!$B$19</f>
        <v>1.17</v>
      </c>
      <c r="H8" s="16">
        <f t="shared" si="2"/>
        <v>225967404.15000001</v>
      </c>
      <c r="I8" s="16">
        <f>ROUND(H8*(Metodologia!$B$20/100),2)</f>
        <v>112983702.08</v>
      </c>
      <c r="J8" s="41">
        <f t="shared" si="3"/>
        <v>112983702.06999999</v>
      </c>
      <c r="K8" s="52">
        <f t="shared" si="4"/>
        <v>84737776.552499995</v>
      </c>
      <c r="L8" s="47">
        <f t="shared" si="5"/>
        <v>28245925.517499998</v>
      </c>
    </row>
    <row r="9" spans="1:12" ht="24" customHeight="1" x14ac:dyDescent="0.25">
      <c r="A9" s="5" t="s">
        <v>35</v>
      </c>
      <c r="B9" s="13">
        <v>99921.9</v>
      </c>
      <c r="C9" s="13">
        <v>108388.08</v>
      </c>
      <c r="D9" s="13">
        <f t="shared" si="0"/>
        <v>208309.97999999998</v>
      </c>
      <c r="E9" s="14">
        <f t="shared" si="1"/>
        <v>208309979.99999997</v>
      </c>
      <c r="F9" s="15">
        <f>Metodologia!$B$18</f>
        <v>29.91</v>
      </c>
      <c r="G9" s="16">
        <f>Metodologia!$B$19</f>
        <v>1.17</v>
      </c>
      <c r="H9" s="16">
        <f t="shared" si="2"/>
        <v>72897452.569999993</v>
      </c>
      <c r="I9" s="16">
        <f>ROUND(H9*(Metodologia!$B$20/100),2)</f>
        <v>36448726.289999999</v>
      </c>
      <c r="J9" s="41">
        <f t="shared" si="3"/>
        <v>36448726.280000001</v>
      </c>
      <c r="K9" s="52">
        <f t="shared" si="4"/>
        <v>27336544.710000001</v>
      </c>
      <c r="L9" s="47">
        <f t="shared" si="5"/>
        <v>9112181.5700000003</v>
      </c>
    </row>
    <row r="10" spans="1:12" ht="24" customHeight="1" x14ac:dyDescent="0.25">
      <c r="A10" s="5" t="s">
        <v>36</v>
      </c>
      <c r="B10" s="13">
        <v>32979.699999999997</v>
      </c>
      <c r="C10" s="13">
        <v>34517</v>
      </c>
      <c r="D10" s="13">
        <f t="shared" si="0"/>
        <v>67496.7</v>
      </c>
      <c r="E10" s="14">
        <f t="shared" si="1"/>
        <v>67496700</v>
      </c>
      <c r="F10" s="15">
        <f>Metodologia!$B$18</f>
        <v>29.91</v>
      </c>
      <c r="G10" s="16">
        <f>Metodologia!$B$19</f>
        <v>1.17</v>
      </c>
      <c r="H10" s="16">
        <f t="shared" si="2"/>
        <v>23620267.670000002</v>
      </c>
      <c r="I10" s="16">
        <f>ROUND(H10*(Metodologia!$B$20/100),2)</f>
        <v>11810133.84</v>
      </c>
      <c r="J10" s="41">
        <f t="shared" si="3"/>
        <v>11810133.83</v>
      </c>
      <c r="K10" s="52">
        <f t="shared" si="4"/>
        <v>8857600.3725000005</v>
      </c>
      <c r="L10" s="47">
        <f t="shared" si="5"/>
        <v>2952533.4575</v>
      </c>
    </row>
    <row r="11" spans="1:12" ht="24" customHeight="1" x14ac:dyDescent="0.25">
      <c r="A11" s="6" t="s">
        <v>37</v>
      </c>
      <c r="B11" s="17">
        <v>110991.12</v>
      </c>
      <c r="C11" s="17">
        <v>114321.485</v>
      </c>
      <c r="D11" s="17">
        <f t="shared" si="0"/>
        <v>225312.60499999998</v>
      </c>
      <c r="E11" s="18">
        <f t="shared" si="1"/>
        <v>225312604.99999997</v>
      </c>
      <c r="F11" s="19">
        <f>Metodologia!$B$18</f>
        <v>29.91</v>
      </c>
      <c r="G11" s="20">
        <f>Metodologia!$B$19</f>
        <v>1.17</v>
      </c>
      <c r="H11" s="20">
        <f t="shared" si="2"/>
        <v>78847470.180000007</v>
      </c>
      <c r="I11" s="20">
        <f>ROUND(H11*(Metodologia!$B$20/100),2)</f>
        <v>39423735.090000004</v>
      </c>
      <c r="J11" s="42">
        <f t="shared" si="3"/>
        <v>39423735.090000004</v>
      </c>
      <c r="K11" s="53">
        <f t="shared" si="4"/>
        <v>29567801.317500003</v>
      </c>
      <c r="L11" s="48">
        <f t="shared" si="5"/>
        <v>9855933.7725000009</v>
      </c>
    </row>
    <row r="12" spans="1:12" ht="24" customHeight="1" x14ac:dyDescent="0.25">
      <c r="A12" s="5" t="s">
        <v>38</v>
      </c>
      <c r="B12" s="13">
        <v>277963.473</v>
      </c>
      <c r="C12" s="13">
        <v>315222.359</v>
      </c>
      <c r="D12" s="13">
        <f t="shared" si="0"/>
        <v>593185.83199999994</v>
      </c>
      <c r="E12" s="14">
        <f t="shared" si="1"/>
        <v>593185831.99999988</v>
      </c>
      <c r="F12" s="15">
        <f>Metodologia!$B$18</f>
        <v>29.91</v>
      </c>
      <c r="G12" s="16">
        <f>Metodologia!$B$19</f>
        <v>1.17</v>
      </c>
      <c r="H12" s="16">
        <f t="shared" si="2"/>
        <v>207583602.34999999</v>
      </c>
      <c r="I12" s="16">
        <f>ROUND(H12*(Metodologia!$B$20/100),2)</f>
        <v>103791801.18000001</v>
      </c>
      <c r="J12" s="41">
        <f t="shared" si="3"/>
        <v>103791801.17</v>
      </c>
      <c r="K12" s="52">
        <f t="shared" si="4"/>
        <v>77843850.877499998</v>
      </c>
      <c r="L12" s="47">
        <f t="shared" si="5"/>
        <v>25947950.2925</v>
      </c>
    </row>
    <row r="13" spans="1:12" ht="24" customHeight="1" x14ac:dyDescent="0.25">
      <c r="A13" s="5" t="s">
        <v>39</v>
      </c>
      <c r="B13" s="13">
        <v>142257.05799999999</v>
      </c>
      <c r="C13" s="13">
        <v>153547.08100000001</v>
      </c>
      <c r="D13" s="13">
        <f t="shared" si="0"/>
        <v>295804.13899999997</v>
      </c>
      <c r="E13" s="14">
        <f t="shared" si="1"/>
        <v>295804138.99999994</v>
      </c>
      <c r="F13" s="15">
        <f>Metodologia!$B$18</f>
        <v>29.91</v>
      </c>
      <c r="G13" s="16">
        <f>Metodologia!$B$19</f>
        <v>1.17</v>
      </c>
      <c r="H13" s="16">
        <f t="shared" si="2"/>
        <v>103515771.03</v>
      </c>
      <c r="I13" s="16">
        <f>ROUND(H13*(Metodologia!$B$20/100),2)</f>
        <v>51757885.520000003</v>
      </c>
      <c r="J13" s="41">
        <f t="shared" si="3"/>
        <v>51757885.509999998</v>
      </c>
      <c r="K13" s="52">
        <f t="shared" si="4"/>
        <v>38818414.1325</v>
      </c>
      <c r="L13" s="47">
        <f t="shared" si="5"/>
        <v>12939471.377499999</v>
      </c>
    </row>
    <row r="14" spans="1:12" ht="24" customHeight="1" x14ac:dyDescent="0.25">
      <c r="A14" s="5" t="s">
        <v>40</v>
      </c>
      <c r="B14" s="13">
        <v>279883.75</v>
      </c>
      <c r="C14" s="13">
        <v>318646.973</v>
      </c>
      <c r="D14" s="13">
        <f t="shared" si="0"/>
        <v>598530.723</v>
      </c>
      <c r="E14" s="14">
        <f t="shared" si="1"/>
        <v>598530723</v>
      </c>
      <c r="F14" s="15">
        <f>Metodologia!$B$18</f>
        <v>29.91</v>
      </c>
      <c r="G14" s="16">
        <f>Metodologia!$B$19</f>
        <v>1.17</v>
      </c>
      <c r="H14" s="16">
        <f t="shared" si="2"/>
        <v>209454030.91999999</v>
      </c>
      <c r="I14" s="16">
        <f>ROUND(H14*(Metodologia!$B$20/100),2)</f>
        <v>104727015.45999999</v>
      </c>
      <c r="J14" s="41">
        <f t="shared" si="3"/>
        <v>104727015.45999999</v>
      </c>
      <c r="K14" s="52">
        <f t="shared" si="4"/>
        <v>78545261.594999999</v>
      </c>
      <c r="L14" s="47">
        <f t="shared" si="5"/>
        <v>26181753.864999998</v>
      </c>
    </row>
    <row r="15" spans="1:12" ht="24" customHeight="1" x14ac:dyDescent="0.25">
      <c r="A15" s="5" t="s">
        <v>41</v>
      </c>
      <c r="B15" s="13">
        <v>138348.269</v>
      </c>
      <c r="C15" s="13">
        <v>164248.557</v>
      </c>
      <c r="D15" s="13">
        <f t="shared" si="0"/>
        <v>302596.826</v>
      </c>
      <c r="E15" s="14">
        <f t="shared" si="1"/>
        <v>302596826</v>
      </c>
      <c r="F15" s="15">
        <f>Metodologia!$B$18</f>
        <v>29.91</v>
      </c>
      <c r="G15" s="16">
        <f>Metodologia!$B$19</f>
        <v>1.17</v>
      </c>
      <c r="H15" s="16">
        <f t="shared" si="2"/>
        <v>105892851.47</v>
      </c>
      <c r="I15" s="16">
        <f>ROUND(H15*(Metodologia!$B$20/100),2)</f>
        <v>52946425.740000002</v>
      </c>
      <c r="J15" s="41">
        <f t="shared" si="3"/>
        <v>52946425.729999997</v>
      </c>
      <c r="K15" s="52">
        <f t="shared" si="4"/>
        <v>39709819.297499999</v>
      </c>
      <c r="L15" s="47">
        <f t="shared" si="5"/>
        <v>13236606.432499999</v>
      </c>
    </row>
    <row r="16" spans="1:12" ht="24" customHeight="1" x14ac:dyDescent="0.25">
      <c r="A16" s="5" t="s">
        <v>42</v>
      </c>
      <c r="B16" s="13">
        <v>690810.09400000004</v>
      </c>
      <c r="C16" s="13">
        <v>743370.16200000001</v>
      </c>
      <c r="D16" s="13">
        <f t="shared" si="0"/>
        <v>1434180.2560000001</v>
      </c>
      <c r="E16" s="14">
        <f t="shared" si="1"/>
        <v>1434180256</v>
      </c>
      <c r="F16" s="15">
        <f>Metodologia!$B$18</f>
        <v>29.91</v>
      </c>
      <c r="G16" s="16">
        <f>Metodologia!$B$19</f>
        <v>1.17</v>
      </c>
      <c r="H16" s="16">
        <f t="shared" si="2"/>
        <v>501887078.05000001</v>
      </c>
      <c r="I16" s="16">
        <f>ROUND(H16*(Metodologia!$B$20/100),2)</f>
        <v>250943539.03</v>
      </c>
      <c r="J16" s="41">
        <f t="shared" si="3"/>
        <v>250943539.02000001</v>
      </c>
      <c r="K16" s="52">
        <f t="shared" si="4"/>
        <v>188207654.26500002</v>
      </c>
      <c r="L16" s="47">
        <f t="shared" si="5"/>
        <v>62735884.755000003</v>
      </c>
    </row>
    <row r="17" spans="1:12" ht="24" customHeight="1" x14ac:dyDescent="0.25">
      <c r="A17" s="5" t="s">
        <v>43</v>
      </c>
      <c r="B17" s="13">
        <v>518501.62099999998</v>
      </c>
      <c r="C17" s="13">
        <v>560914.18299999996</v>
      </c>
      <c r="D17" s="13">
        <f t="shared" si="0"/>
        <v>1079415.804</v>
      </c>
      <c r="E17" s="14">
        <f t="shared" si="1"/>
        <v>1079415804</v>
      </c>
      <c r="F17" s="15">
        <f>Metodologia!$B$18</f>
        <v>29.91</v>
      </c>
      <c r="G17" s="16">
        <f>Metodologia!$B$19</f>
        <v>1.17</v>
      </c>
      <c r="H17" s="16">
        <f t="shared" si="2"/>
        <v>377738322.36000001</v>
      </c>
      <c r="I17" s="16">
        <f>ROUND(H17*(Metodologia!$B$20/100),2)</f>
        <v>188869161.18000001</v>
      </c>
      <c r="J17" s="41">
        <f t="shared" si="3"/>
        <v>188869161.18000001</v>
      </c>
      <c r="K17" s="52">
        <f t="shared" si="4"/>
        <v>141651870.88499999</v>
      </c>
      <c r="L17" s="47">
        <f t="shared" si="5"/>
        <v>47217290.295000002</v>
      </c>
    </row>
    <row r="18" spans="1:12" ht="24" customHeight="1" x14ac:dyDescent="0.25">
      <c r="A18" s="5" t="s">
        <v>44</v>
      </c>
      <c r="B18" s="13">
        <v>42744.91</v>
      </c>
      <c r="C18" s="13">
        <v>43191.96</v>
      </c>
      <c r="D18" s="13">
        <f t="shared" si="0"/>
        <v>85936.87</v>
      </c>
      <c r="E18" s="14">
        <f t="shared" si="1"/>
        <v>85936870</v>
      </c>
      <c r="F18" s="15">
        <f>Metodologia!$B$18</f>
        <v>29.91</v>
      </c>
      <c r="G18" s="16">
        <f>Metodologia!$B$19</f>
        <v>1.17</v>
      </c>
      <c r="H18" s="16">
        <f t="shared" si="2"/>
        <v>30073349.850000001</v>
      </c>
      <c r="I18" s="16">
        <f>ROUND(H18*(Metodologia!$B$20/100),2)</f>
        <v>15036674.93</v>
      </c>
      <c r="J18" s="41">
        <f t="shared" si="3"/>
        <v>15036674.92</v>
      </c>
      <c r="K18" s="52">
        <f t="shared" si="4"/>
        <v>11277506.189999999</v>
      </c>
      <c r="L18" s="47">
        <f t="shared" si="5"/>
        <v>3759168.73</v>
      </c>
    </row>
    <row r="19" spans="1:12" ht="24" customHeight="1" x14ac:dyDescent="0.25">
      <c r="A19" s="5" t="s">
        <v>45</v>
      </c>
      <c r="B19" s="13">
        <v>257269.09099999999</v>
      </c>
      <c r="C19" s="13">
        <v>265073.15100000001</v>
      </c>
      <c r="D19" s="13">
        <f t="shared" si="0"/>
        <v>522342.24199999997</v>
      </c>
      <c r="E19" s="14">
        <f t="shared" si="1"/>
        <v>522342241.99999994</v>
      </c>
      <c r="F19" s="15">
        <f>Metodologia!$B$18</f>
        <v>29.91</v>
      </c>
      <c r="G19" s="16">
        <f>Metodologia!$B$19</f>
        <v>1.17</v>
      </c>
      <c r="H19" s="16">
        <f t="shared" si="2"/>
        <v>182792100.56</v>
      </c>
      <c r="I19" s="16">
        <f>ROUND(H19*(Metodologia!$B$20/100),2)</f>
        <v>91396050.280000001</v>
      </c>
      <c r="J19" s="41">
        <f t="shared" si="3"/>
        <v>91396050.280000001</v>
      </c>
      <c r="K19" s="52">
        <f t="shared" si="4"/>
        <v>68547037.710000008</v>
      </c>
      <c r="L19" s="47">
        <f t="shared" si="5"/>
        <v>22849012.57</v>
      </c>
    </row>
    <row r="20" spans="1:12" ht="24" customHeight="1" x14ac:dyDescent="0.25">
      <c r="A20" s="5" t="s">
        <v>46</v>
      </c>
      <c r="B20" s="13">
        <v>129408.705</v>
      </c>
      <c r="C20" s="13">
        <v>136037.13</v>
      </c>
      <c r="D20" s="13">
        <f t="shared" si="0"/>
        <v>265445.83500000002</v>
      </c>
      <c r="E20" s="14">
        <f t="shared" si="1"/>
        <v>265445835.00000003</v>
      </c>
      <c r="F20" s="15">
        <f>Metodologia!$B$18</f>
        <v>29.91</v>
      </c>
      <c r="G20" s="16">
        <f>Metodologia!$B$19</f>
        <v>1.17</v>
      </c>
      <c r="H20" s="16">
        <f t="shared" si="2"/>
        <v>92891973.620000005</v>
      </c>
      <c r="I20" s="16">
        <f>ROUND(H20*(Metodologia!$B$20/100),2)</f>
        <v>46445986.810000002</v>
      </c>
      <c r="J20" s="41">
        <f t="shared" si="3"/>
        <v>46445986.810000002</v>
      </c>
      <c r="K20" s="52">
        <f t="shared" si="4"/>
        <v>34834490.107500002</v>
      </c>
      <c r="L20" s="47">
        <f t="shared" si="5"/>
        <v>11611496.702500001</v>
      </c>
    </row>
    <row r="21" spans="1:12" ht="24" customHeight="1" x14ac:dyDescent="0.25">
      <c r="A21" s="5" t="s">
        <v>47</v>
      </c>
      <c r="B21" s="13">
        <v>58577.1</v>
      </c>
      <c r="C21" s="13">
        <v>62075.9</v>
      </c>
      <c r="D21" s="13">
        <f t="shared" si="0"/>
        <v>120653</v>
      </c>
      <c r="E21" s="14">
        <f t="shared" si="1"/>
        <v>120653000</v>
      </c>
      <c r="F21" s="15">
        <f>Metodologia!$B$18</f>
        <v>29.91</v>
      </c>
      <c r="G21" s="16">
        <f>Metodologia!$B$19</f>
        <v>1.17</v>
      </c>
      <c r="H21" s="16">
        <f t="shared" si="2"/>
        <v>42222155.390000001</v>
      </c>
      <c r="I21" s="16">
        <f>ROUND(H21*(Metodologia!$B$20/100),2)</f>
        <v>21111077.699999999</v>
      </c>
      <c r="J21" s="41">
        <f t="shared" si="3"/>
        <v>21111077.690000001</v>
      </c>
      <c r="K21" s="52">
        <f t="shared" si="4"/>
        <v>15833308.267500002</v>
      </c>
      <c r="L21" s="47">
        <f t="shared" si="5"/>
        <v>5277769.4225000003</v>
      </c>
    </row>
    <row r="22" spans="1:12" ht="24" customHeight="1" x14ac:dyDescent="0.25">
      <c r="A22" s="5" t="s">
        <v>48</v>
      </c>
      <c r="B22" s="13">
        <v>204094.20300000001</v>
      </c>
      <c r="C22" s="13">
        <v>217004.30100000001</v>
      </c>
      <c r="D22" s="13">
        <f t="shared" si="0"/>
        <v>421098.50400000002</v>
      </c>
      <c r="E22" s="14">
        <f t="shared" si="1"/>
        <v>421098504</v>
      </c>
      <c r="F22" s="15">
        <f>Metodologia!$B$18</f>
        <v>29.91</v>
      </c>
      <c r="G22" s="16">
        <f>Metodologia!$B$19</f>
        <v>1.17</v>
      </c>
      <c r="H22" s="16">
        <f t="shared" si="2"/>
        <v>147362158.18000001</v>
      </c>
      <c r="I22" s="16">
        <f>ROUND(H22*(Metodologia!$B$20/100),2)</f>
        <v>73681079.090000004</v>
      </c>
      <c r="J22" s="41">
        <f t="shared" si="3"/>
        <v>73681079.090000004</v>
      </c>
      <c r="K22" s="52">
        <f t="shared" si="4"/>
        <v>55260809.317500003</v>
      </c>
      <c r="L22" s="47">
        <f t="shared" si="5"/>
        <v>18420269.772500001</v>
      </c>
    </row>
    <row r="23" spans="1:12" ht="24" customHeight="1" x14ac:dyDescent="0.25">
      <c r="A23" s="5" t="s">
        <v>49</v>
      </c>
      <c r="B23" s="13">
        <v>40945.800000000003</v>
      </c>
      <c r="C23" s="13">
        <v>41059.5</v>
      </c>
      <c r="D23" s="13">
        <f t="shared" si="0"/>
        <v>82005.3</v>
      </c>
      <c r="E23" s="14">
        <f t="shared" si="1"/>
        <v>82005300</v>
      </c>
      <c r="F23" s="15">
        <f>Metodologia!$B$18</f>
        <v>29.91</v>
      </c>
      <c r="G23" s="16">
        <f>Metodologia!$B$19</f>
        <v>1.17</v>
      </c>
      <c r="H23" s="16">
        <f t="shared" si="2"/>
        <v>28697508.719999999</v>
      </c>
      <c r="I23" s="16">
        <f>ROUND(H23*(Metodologia!$B$20/100),2)</f>
        <v>14348754.359999999</v>
      </c>
      <c r="J23" s="41">
        <f t="shared" si="3"/>
        <v>14348754.359999999</v>
      </c>
      <c r="K23" s="52">
        <f t="shared" si="4"/>
        <v>10761565.77</v>
      </c>
      <c r="L23" s="47">
        <f t="shared" si="5"/>
        <v>3587188.59</v>
      </c>
    </row>
    <row r="24" spans="1:12" ht="24" customHeight="1" x14ac:dyDescent="0.25">
      <c r="A24" s="5" t="s">
        <v>50</v>
      </c>
      <c r="B24" s="13">
        <v>382592.15299999999</v>
      </c>
      <c r="C24" s="13">
        <v>328259.63299999997</v>
      </c>
      <c r="D24" s="13">
        <f t="shared" si="0"/>
        <v>710851.78599999996</v>
      </c>
      <c r="E24" s="14">
        <f t="shared" si="1"/>
        <v>710851786</v>
      </c>
      <c r="F24" s="15">
        <f>Metodologia!$B$18</f>
        <v>29.91</v>
      </c>
      <c r="G24" s="16">
        <f>Metodologia!$B$19</f>
        <v>1.17</v>
      </c>
      <c r="H24" s="16">
        <f t="shared" si="2"/>
        <v>248760449.96000001</v>
      </c>
      <c r="I24" s="16">
        <f>ROUND(H24*(Metodologia!$B$20/100),2)</f>
        <v>124380224.98</v>
      </c>
      <c r="J24" s="41">
        <f t="shared" si="3"/>
        <v>124380224.98</v>
      </c>
      <c r="K24" s="52">
        <f t="shared" si="4"/>
        <v>93285168.734999999</v>
      </c>
      <c r="L24" s="47">
        <f t="shared" si="5"/>
        <v>31095056.245000001</v>
      </c>
    </row>
    <row r="25" spans="1:12" ht="24" customHeight="1" x14ac:dyDescent="0.25">
      <c r="A25" s="5" t="s">
        <v>51</v>
      </c>
      <c r="B25" s="13">
        <v>78747.751999999993</v>
      </c>
      <c r="C25" s="13">
        <v>88892.1</v>
      </c>
      <c r="D25" s="13">
        <f t="shared" si="0"/>
        <v>167639.85200000001</v>
      </c>
      <c r="E25" s="14">
        <f t="shared" si="1"/>
        <v>167639852</v>
      </c>
      <c r="F25" s="15">
        <f>Metodologia!$B$18</f>
        <v>29.91</v>
      </c>
      <c r="G25" s="16">
        <f>Metodologia!$B$19</f>
        <v>1.17</v>
      </c>
      <c r="H25" s="16">
        <f t="shared" si="2"/>
        <v>58665063.289999999</v>
      </c>
      <c r="I25" s="16">
        <f>ROUND(H25*(Metodologia!$B$20/100),2)</f>
        <v>29332531.649999999</v>
      </c>
      <c r="J25" s="41">
        <f t="shared" si="3"/>
        <v>29332531.640000001</v>
      </c>
      <c r="K25" s="52">
        <f t="shared" si="4"/>
        <v>21999398.73</v>
      </c>
      <c r="L25" s="47">
        <f t="shared" si="5"/>
        <v>7333132.9100000001</v>
      </c>
    </row>
    <row r="26" spans="1:12" ht="24" customHeight="1" x14ac:dyDescent="0.25">
      <c r="A26" s="5" t="s">
        <v>52</v>
      </c>
      <c r="B26" s="13">
        <v>17968.8</v>
      </c>
      <c r="C26" s="13">
        <v>14723.164000000001</v>
      </c>
      <c r="D26" s="13">
        <f t="shared" si="0"/>
        <v>32691.964</v>
      </c>
      <c r="E26" s="14">
        <f t="shared" si="1"/>
        <v>32691964</v>
      </c>
      <c r="F26" s="15">
        <f>Metodologia!$B$18</f>
        <v>29.91</v>
      </c>
      <c r="G26" s="16">
        <f>Metodologia!$B$19</f>
        <v>1.17</v>
      </c>
      <c r="H26" s="16">
        <f t="shared" si="2"/>
        <v>11440454.73</v>
      </c>
      <c r="I26" s="16">
        <f>ROUND(H26*(Metodologia!$B$20/100),2)</f>
        <v>5720227.3700000001</v>
      </c>
      <c r="J26" s="41">
        <f t="shared" si="3"/>
        <v>5720227.3600000003</v>
      </c>
      <c r="K26" s="52">
        <f t="shared" si="4"/>
        <v>4290170.5200000005</v>
      </c>
      <c r="L26" s="47">
        <f t="shared" si="5"/>
        <v>1430056.84</v>
      </c>
    </row>
    <row r="27" spans="1:12" ht="24" customHeight="1" x14ac:dyDescent="0.25">
      <c r="A27" s="5" t="s">
        <v>53</v>
      </c>
      <c r="B27" s="13">
        <v>268177.47200000001</v>
      </c>
      <c r="C27" s="13">
        <v>273188.02</v>
      </c>
      <c r="D27" s="13">
        <f t="shared" si="0"/>
        <v>541365.49200000009</v>
      </c>
      <c r="E27" s="14">
        <f t="shared" si="1"/>
        <v>541365492.00000012</v>
      </c>
      <c r="F27" s="15">
        <f>Metodologia!$B$18</f>
        <v>29.91</v>
      </c>
      <c r="G27" s="16">
        <f>Metodologia!$B$19</f>
        <v>1.17</v>
      </c>
      <c r="H27" s="16">
        <f t="shared" si="2"/>
        <v>189449229.83000001</v>
      </c>
      <c r="I27" s="16">
        <f>ROUND(H27*(Metodologia!$B$20/100),2)</f>
        <v>94724614.920000002</v>
      </c>
      <c r="J27" s="41">
        <f t="shared" si="3"/>
        <v>94724614.909999996</v>
      </c>
      <c r="K27" s="52">
        <f t="shared" si="4"/>
        <v>71043461.182500005</v>
      </c>
      <c r="L27" s="47">
        <f t="shared" si="5"/>
        <v>23681153.727499999</v>
      </c>
    </row>
    <row r="28" spans="1:12" ht="24" customHeight="1" x14ac:dyDescent="0.25">
      <c r="A28" s="5" t="s">
        <v>54</v>
      </c>
      <c r="B28" s="13">
        <v>35082.9</v>
      </c>
      <c r="C28" s="13">
        <v>36291.300000000003</v>
      </c>
      <c r="D28" s="13">
        <f t="shared" si="0"/>
        <v>71374.200000000012</v>
      </c>
      <c r="E28" s="14">
        <f t="shared" si="1"/>
        <v>71374200.000000015</v>
      </c>
      <c r="F28" s="15">
        <f>Metodologia!$B$18</f>
        <v>29.91</v>
      </c>
      <c r="G28" s="16">
        <f>Metodologia!$B$19</f>
        <v>1.17</v>
      </c>
      <c r="H28" s="16">
        <f t="shared" si="2"/>
        <v>24977187.170000002</v>
      </c>
      <c r="I28" s="16">
        <f>ROUND(H28*(Metodologia!$B$20/100),2)</f>
        <v>12488593.59</v>
      </c>
      <c r="J28" s="41">
        <f t="shared" si="3"/>
        <v>12488593.58</v>
      </c>
      <c r="K28" s="52">
        <f t="shared" si="4"/>
        <v>9366445.1850000005</v>
      </c>
      <c r="L28" s="47">
        <f t="shared" si="5"/>
        <v>3122148.395</v>
      </c>
    </row>
    <row r="29" spans="1:12" ht="24" customHeight="1" x14ac:dyDescent="0.25">
      <c r="A29" s="5" t="s">
        <v>55</v>
      </c>
      <c r="B29" s="13">
        <v>1121576.7960000001</v>
      </c>
      <c r="C29" s="13">
        <v>1255581.0789999999</v>
      </c>
      <c r="D29" s="13">
        <f t="shared" si="0"/>
        <v>2377157.875</v>
      </c>
      <c r="E29" s="14">
        <f t="shared" si="1"/>
        <v>2377157875</v>
      </c>
      <c r="F29" s="15">
        <f>Metodologia!$B$18</f>
        <v>29.91</v>
      </c>
      <c r="G29" s="16">
        <f>Metodologia!$B$19</f>
        <v>1.17</v>
      </c>
      <c r="H29" s="16">
        <f t="shared" si="2"/>
        <v>831879266.88</v>
      </c>
      <c r="I29" s="16">
        <f>ROUND(H29*(Metodologia!$B$20/100),2)</f>
        <v>415939633.44</v>
      </c>
      <c r="J29" s="41">
        <f t="shared" si="3"/>
        <v>415939633.44</v>
      </c>
      <c r="K29" s="52">
        <f t="shared" si="4"/>
        <v>311954725.07999998</v>
      </c>
      <c r="L29" s="47">
        <f t="shared" si="5"/>
        <v>103984908.36</v>
      </c>
    </row>
    <row r="30" spans="1:12" ht="24" customHeight="1" x14ac:dyDescent="0.25">
      <c r="A30" s="5" t="s">
        <v>56</v>
      </c>
      <c r="B30" s="13">
        <v>98135.9</v>
      </c>
      <c r="C30" s="13">
        <v>106271.3</v>
      </c>
      <c r="D30" s="13">
        <f t="shared" si="0"/>
        <v>204407.2</v>
      </c>
      <c r="E30" s="14">
        <f t="shared" si="1"/>
        <v>204407200</v>
      </c>
      <c r="F30" s="15">
        <f>Metodologia!$B$18</f>
        <v>29.91</v>
      </c>
      <c r="G30" s="16">
        <f>Metodologia!$B$19</f>
        <v>1.17</v>
      </c>
      <c r="H30" s="16">
        <f t="shared" si="2"/>
        <v>71531686.420000002</v>
      </c>
      <c r="I30" s="16">
        <f>ROUND(H30*(Metodologia!$B$20/100),2)</f>
        <v>35765843.210000001</v>
      </c>
      <c r="J30" s="41">
        <f t="shared" si="3"/>
        <v>35765843.210000001</v>
      </c>
      <c r="K30" s="52">
        <f t="shared" si="4"/>
        <v>26824382.407499999</v>
      </c>
      <c r="L30" s="47">
        <f t="shared" si="5"/>
        <v>8941460.8025000002</v>
      </c>
    </row>
    <row r="31" spans="1:12" ht="24" customHeight="1" thickBot="1" x14ac:dyDescent="0.3">
      <c r="A31" s="7" t="s">
        <v>57</v>
      </c>
      <c r="B31" s="21">
        <f>ROUND(SUM(B4:B30),3)</f>
        <v>5477035.4610000001</v>
      </c>
      <c r="C31" s="21">
        <f>ROUND(SUM(C4:C30),3)</f>
        <v>5856275.9979999997</v>
      </c>
      <c r="D31" s="21">
        <f>ROUND(SUM(D4:D30),3)</f>
        <v>11333311.459000001</v>
      </c>
      <c r="E31" s="22">
        <f>ROUND(SUM(E4:E30),0)</f>
        <v>11333311459</v>
      </c>
      <c r="F31" s="23">
        <f>Metodologia!$B$18</f>
        <v>29.91</v>
      </c>
      <c r="G31" s="24">
        <f>Metodologia!$B$19</f>
        <v>1.17</v>
      </c>
      <c r="H31" s="24">
        <f>ROUND(SUM(H4:H30),2)</f>
        <v>3966058345.1700001</v>
      </c>
      <c r="I31" s="24">
        <f>ROUND(SUM(I4:I30),2)</f>
        <v>1983029172.6600001</v>
      </c>
      <c r="J31" s="43">
        <f>ROUND(SUM(J4:J30),2)</f>
        <v>1983029172.51</v>
      </c>
      <c r="K31" s="54">
        <f t="shared" si="4"/>
        <v>1487271879.3824999</v>
      </c>
      <c r="L31" s="49">
        <f t="shared" si="5"/>
        <v>495757293.1275</v>
      </c>
    </row>
    <row r="32" spans="1:12" ht="29.25" customHeight="1" x14ac:dyDescent="0.25">
      <c r="A32" s="67" t="s">
        <v>246</v>
      </c>
      <c r="B32" s="37"/>
      <c r="C32" s="37"/>
      <c r="D32" s="37"/>
      <c r="E32" s="37"/>
      <c r="F32" s="37"/>
      <c r="G32" s="37"/>
      <c r="H32" s="37"/>
      <c r="I32" s="37"/>
      <c r="J32" s="37"/>
      <c r="K32" s="44"/>
      <c r="L32" s="44"/>
    </row>
    <row r="33" spans="1:12" ht="24" customHeight="1" x14ac:dyDescent="0.25"/>
    <row r="34" spans="1:12" ht="27.95" customHeight="1" x14ac:dyDescent="0.25">
      <c r="A34" s="34" t="s">
        <v>58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ht="27.95" customHeight="1" x14ac:dyDescent="0.25">
      <c r="A35" s="8" t="s">
        <v>59</v>
      </c>
      <c r="B35" s="8" t="s">
        <v>60</v>
      </c>
      <c r="C35" s="36" t="s">
        <v>61</v>
      </c>
      <c r="D35" s="29"/>
      <c r="E35" s="29"/>
      <c r="F35" s="29"/>
      <c r="G35" s="29"/>
      <c r="H35" s="29"/>
      <c r="I35" s="29"/>
      <c r="J35" s="29"/>
      <c r="K35" s="29"/>
      <c r="L35" s="30"/>
    </row>
    <row r="36" spans="1:12" ht="24" customHeight="1" x14ac:dyDescent="0.25">
      <c r="A36" s="9" t="s">
        <v>62</v>
      </c>
      <c r="B36" s="2" t="s">
        <v>63</v>
      </c>
      <c r="C36" s="32" t="s">
        <v>64</v>
      </c>
      <c r="D36" s="29"/>
      <c r="E36" s="29"/>
      <c r="F36" s="29"/>
      <c r="G36" s="29"/>
      <c r="H36" s="29"/>
      <c r="I36" s="29"/>
      <c r="J36" s="29"/>
      <c r="K36" s="29"/>
      <c r="L36" s="30"/>
    </row>
    <row r="37" spans="1:12" ht="24" customHeight="1" x14ac:dyDescent="0.25">
      <c r="A37" s="9" t="s">
        <v>10</v>
      </c>
      <c r="B37" s="2" t="s">
        <v>65</v>
      </c>
      <c r="C37" s="32" t="s">
        <v>66</v>
      </c>
      <c r="D37" s="29"/>
      <c r="E37" s="29"/>
      <c r="F37" s="29"/>
      <c r="G37" s="29"/>
      <c r="H37" s="29"/>
      <c r="I37" s="29"/>
      <c r="J37" s="29"/>
      <c r="K37" s="29"/>
      <c r="L37" s="30"/>
    </row>
    <row r="38" spans="1:12" ht="24" customHeight="1" x14ac:dyDescent="0.25">
      <c r="A38" s="9" t="s">
        <v>11</v>
      </c>
      <c r="B38" s="2" t="s">
        <v>67</v>
      </c>
      <c r="C38" s="32" t="s">
        <v>68</v>
      </c>
      <c r="D38" s="29"/>
      <c r="E38" s="29"/>
      <c r="F38" s="29"/>
      <c r="G38" s="29"/>
      <c r="H38" s="29"/>
      <c r="I38" s="29"/>
      <c r="J38" s="29"/>
      <c r="K38" s="29"/>
      <c r="L38" s="30"/>
    </row>
    <row r="39" spans="1:12" ht="24" customHeight="1" x14ac:dyDescent="0.25">
      <c r="A39" s="9" t="s">
        <v>69</v>
      </c>
      <c r="B39" s="2" t="s">
        <v>70</v>
      </c>
      <c r="C39" s="32" t="s">
        <v>71</v>
      </c>
      <c r="D39" s="29"/>
      <c r="E39" s="29"/>
      <c r="F39" s="29"/>
      <c r="G39" s="29"/>
      <c r="H39" s="29"/>
      <c r="I39" s="29"/>
      <c r="J39" s="29"/>
      <c r="K39" s="29"/>
      <c r="L39" s="30"/>
    </row>
    <row r="40" spans="1:12" ht="24" customHeight="1" x14ac:dyDescent="0.25">
      <c r="A40" s="9" t="s">
        <v>72</v>
      </c>
      <c r="B40" s="2" t="s">
        <v>73</v>
      </c>
      <c r="C40" s="32" t="s">
        <v>74</v>
      </c>
      <c r="D40" s="29"/>
      <c r="E40" s="29"/>
      <c r="F40" s="29"/>
      <c r="G40" s="29"/>
      <c r="H40" s="29"/>
      <c r="I40" s="29"/>
      <c r="J40" s="29"/>
      <c r="K40" s="29"/>
      <c r="L40" s="30"/>
    </row>
    <row r="41" spans="1:12" ht="24" customHeight="1" x14ac:dyDescent="0.25">
      <c r="A41" s="9" t="s">
        <v>75</v>
      </c>
      <c r="B41" s="2" t="s">
        <v>76</v>
      </c>
      <c r="C41" s="32" t="s">
        <v>77</v>
      </c>
      <c r="D41" s="29"/>
      <c r="E41" s="29"/>
      <c r="F41" s="29"/>
      <c r="G41" s="29"/>
      <c r="H41" s="29"/>
      <c r="I41" s="29"/>
      <c r="J41" s="29"/>
      <c r="K41" s="29"/>
      <c r="L41" s="30"/>
    </row>
    <row r="42" spans="1:12" ht="24" customHeight="1" x14ac:dyDescent="0.25">
      <c r="A42" s="9" t="s">
        <v>78</v>
      </c>
      <c r="B42" s="2" t="s">
        <v>79</v>
      </c>
      <c r="C42" s="32" t="s">
        <v>80</v>
      </c>
      <c r="D42" s="29"/>
      <c r="E42" s="29"/>
      <c r="F42" s="29"/>
      <c r="G42" s="29"/>
      <c r="H42" s="29"/>
      <c r="I42" s="29"/>
      <c r="J42" s="29"/>
      <c r="K42" s="29"/>
      <c r="L42" s="30"/>
    </row>
    <row r="43" spans="1:12" ht="24" customHeight="1" x14ac:dyDescent="0.25">
      <c r="A43" s="9" t="s">
        <v>81</v>
      </c>
      <c r="B43" s="2" t="s">
        <v>82</v>
      </c>
      <c r="C43" s="32" t="s">
        <v>83</v>
      </c>
      <c r="D43" s="29"/>
      <c r="E43" s="29"/>
      <c r="F43" s="29"/>
      <c r="G43" s="29"/>
      <c r="H43" s="29"/>
      <c r="I43" s="29"/>
      <c r="J43" s="29"/>
      <c r="K43" s="29"/>
      <c r="L43" s="30"/>
    </row>
    <row r="44" spans="1:12" ht="24" customHeight="1" x14ac:dyDescent="0.25">
      <c r="A44" s="9" t="s">
        <v>84</v>
      </c>
      <c r="B44" s="2" t="s">
        <v>85</v>
      </c>
      <c r="C44" s="32" t="s">
        <v>86</v>
      </c>
      <c r="D44" s="29"/>
      <c r="E44" s="29"/>
      <c r="F44" s="29"/>
      <c r="G44" s="29"/>
      <c r="H44" s="29"/>
      <c r="I44" s="29"/>
      <c r="J44" s="29"/>
      <c r="K44" s="29"/>
      <c r="L44" s="30"/>
    </row>
    <row r="45" spans="1:12" ht="24" customHeight="1" x14ac:dyDescent="0.25">
      <c r="A45" s="9" t="s">
        <v>87</v>
      </c>
      <c r="B45" s="2" t="s">
        <v>88</v>
      </c>
      <c r="C45" s="32" t="s">
        <v>89</v>
      </c>
      <c r="D45" s="29"/>
      <c r="E45" s="29"/>
      <c r="F45" s="29"/>
      <c r="G45" s="29"/>
      <c r="H45" s="29"/>
      <c r="I45" s="29"/>
      <c r="J45" s="29"/>
      <c r="K45" s="29"/>
      <c r="L45" s="30"/>
    </row>
  </sheetData>
  <mergeCells count="14">
    <mergeCell ref="C45:L45"/>
    <mergeCell ref="C39:L39"/>
    <mergeCell ref="A32:L32"/>
    <mergeCell ref="A1:L1"/>
    <mergeCell ref="C38:L38"/>
    <mergeCell ref="C41:L41"/>
    <mergeCell ref="C42:L42"/>
    <mergeCell ref="C37:L37"/>
    <mergeCell ref="A34:L34"/>
    <mergeCell ref="C36:L36"/>
    <mergeCell ref="C40:L40"/>
    <mergeCell ref="C35:L35"/>
    <mergeCell ref="C44:L44"/>
    <mergeCell ref="C43:L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showGridLines="0" topLeftCell="A8" zoomScale="115" zoomScaleNormal="115" workbookViewId="0">
      <selection activeCell="A2" sqref="A2:E3"/>
    </sheetView>
  </sheetViews>
  <sheetFormatPr defaultRowHeight="15" x14ac:dyDescent="0.25"/>
  <cols>
    <col min="1" max="1" width="24" customWidth="1"/>
    <col min="2" max="2" width="18" customWidth="1"/>
    <col min="3" max="3" width="16" customWidth="1"/>
    <col min="4" max="4" width="46" customWidth="1"/>
    <col min="5" max="5" width="48" customWidth="1"/>
  </cols>
  <sheetData>
    <row r="1" spans="1:5" ht="18.75" x14ac:dyDescent="0.3">
      <c r="A1" s="28" t="s">
        <v>90</v>
      </c>
      <c r="B1" s="29"/>
      <c r="C1" s="29"/>
      <c r="D1" s="29"/>
      <c r="E1" s="30"/>
    </row>
    <row r="2" spans="1:5" x14ac:dyDescent="0.25">
      <c r="A2" s="55" t="s">
        <v>91</v>
      </c>
      <c r="B2" s="56"/>
      <c r="C2" s="56"/>
      <c r="D2" s="56"/>
      <c r="E2" s="56"/>
    </row>
    <row r="3" spans="1:5" x14ac:dyDescent="0.25">
      <c r="A3" s="56"/>
      <c r="B3" s="56"/>
      <c r="C3" s="56"/>
      <c r="D3" s="56"/>
      <c r="E3" s="56"/>
    </row>
    <row r="5" spans="1:5" x14ac:dyDescent="0.25">
      <c r="A5" s="34" t="s">
        <v>92</v>
      </c>
      <c r="B5" s="29"/>
      <c r="C5" s="29"/>
      <c r="D5" s="29"/>
      <c r="E5" s="30"/>
    </row>
    <row r="6" spans="1:5" x14ac:dyDescent="0.25">
      <c r="A6" s="8" t="s">
        <v>93</v>
      </c>
      <c r="B6" s="8" t="s">
        <v>94</v>
      </c>
      <c r="C6" s="36" t="s">
        <v>95</v>
      </c>
      <c r="D6" s="29"/>
      <c r="E6" s="30"/>
    </row>
    <row r="7" spans="1:5" ht="25.5" x14ac:dyDescent="0.25">
      <c r="A7" s="10" t="s">
        <v>96</v>
      </c>
      <c r="B7" s="2" t="s">
        <v>97</v>
      </c>
      <c r="C7" s="32" t="s">
        <v>98</v>
      </c>
      <c r="D7" s="29"/>
      <c r="E7" s="30"/>
    </row>
    <row r="8" spans="1:5" ht="25.5" x14ac:dyDescent="0.25">
      <c r="A8" s="10" t="s">
        <v>99</v>
      </c>
      <c r="B8" s="2" t="s">
        <v>100</v>
      </c>
      <c r="C8" s="32" t="s">
        <v>101</v>
      </c>
      <c r="D8" s="29"/>
      <c r="E8" s="30"/>
    </row>
    <row r="9" spans="1:5" ht="25.5" x14ac:dyDescent="0.25">
      <c r="A9" s="10" t="s">
        <v>102</v>
      </c>
      <c r="B9" s="2" t="s">
        <v>103</v>
      </c>
      <c r="C9" s="32" t="s">
        <v>104</v>
      </c>
      <c r="D9" s="29"/>
      <c r="E9" s="30"/>
    </row>
    <row r="10" spans="1:5" ht="25.5" x14ac:dyDescent="0.25">
      <c r="A10" s="10" t="s">
        <v>105</v>
      </c>
      <c r="B10" s="2" t="s">
        <v>106</v>
      </c>
      <c r="C10" s="32" t="s">
        <v>107</v>
      </c>
      <c r="D10" s="29"/>
      <c r="E10" s="30"/>
    </row>
    <row r="11" spans="1:5" ht="25.5" x14ac:dyDescent="0.25">
      <c r="A11" s="10" t="s">
        <v>108</v>
      </c>
      <c r="B11" s="2" t="s">
        <v>109</v>
      </c>
      <c r="C11" s="32" t="s">
        <v>110</v>
      </c>
      <c r="D11" s="29"/>
      <c r="E11" s="30"/>
    </row>
    <row r="14" spans="1:5" x14ac:dyDescent="0.25">
      <c r="A14" s="34" t="s">
        <v>111</v>
      </c>
      <c r="B14" s="29"/>
      <c r="C14" s="29"/>
      <c r="D14" s="29"/>
      <c r="E14" s="30"/>
    </row>
    <row r="15" spans="1:5" x14ac:dyDescent="0.25">
      <c r="A15" s="8" t="s">
        <v>112</v>
      </c>
      <c r="B15" s="8" t="s">
        <v>113</v>
      </c>
      <c r="C15" s="8" t="s">
        <v>114</v>
      </c>
      <c r="D15" s="8" t="s">
        <v>115</v>
      </c>
      <c r="E15" s="8" t="s">
        <v>116</v>
      </c>
    </row>
    <row r="16" spans="1:5" ht="25.5" x14ac:dyDescent="0.25">
      <c r="A16" s="1" t="s">
        <v>117</v>
      </c>
      <c r="B16" s="2" t="s">
        <v>118</v>
      </c>
      <c r="C16" s="2" t="s">
        <v>119</v>
      </c>
      <c r="D16" s="2" t="s">
        <v>120</v>
      </c>
      <c r="E16" s="2" t="s">
        <v>20</v>
      </c>
    </row>
    <row r="17" spans="1:5" ht="38.25" x14ac:dyDescent="0.25">
      <c r="A17" s="1" t="s">
        <v>121</v>
      </c>
      <c r="B17" s="2" t="s">
        <v>122</v>
      </c>
      <c r="C17" s="2" t="s">
        <v>123</v>
      </c>
      <c r="D17" s="2" t="s">
        <v>124</v>
      </c>
      <c r="E17" s="2" t="s">
        <v>20</v>
      </c>
    </row>
    <row r="18" spans="1:5" ht="38.25" x14ac:dyDescent="0.25">
      <c r="A18" s="1" t="s">
        <v>125</v>
      </c>
      <c r="B18" s="27">
        <v>29.91</v>
      </c>
      <c r="C18" s="2" t="s">
        <v>126</v>
      </c>
      <c r="D18" s="2" t="s">
        <v>127</v>
      </c>
      <c r="E18" s="2" t="s">
        <v>128</v>
      </c>
    </row>
    <row r="19" spans="1:5" ht="38.25" x14ac:dyDescent="0.25">
      <c r="A19" s="1" t="s">
        <v>129</v>
      </c>
      <c r="B19" s="26">
        <v>1.17</v>
      </c>
      <c r="C19" s="2" t="s">
        <v>130</v>
      </c>
      <c r="D19" s="2" t="s">
        <v>131</v>
      </c>
      <c r="E19" s="2" t="s">
        <v>132</v>
      </c>
    </row>
    <row r="20" spans="1:5" ht="38.25" x14ac:dyDescent="0.25">
      <c r="A20" s="1" t="s">
        <v>78</v>
      </c>
      <c r="B20" s="25">
        <v>50</v>
      </c>
      <c r="C20" s="2" t="s">
        <v>133</v>
      </c>
      <c r="D20" s="2" t="s">
        <v>134</v>
      </c>
      <c r="E20" s="2" t="s">
        <v>135</v>
      </c>
    </row>
    <row r="21" spans="1:5" ht="25.5" x14ac:dyDescent="0.25">
      <c r="A21" s="1" t="s">
        <v>136</v>
      </c>
      <c r="B21" s="25">
        <v>25</v>
      </c>
      <c r="C21" s="2" t="s">
        <v>137</v>
      </c>
      <c r="D21" s="2" t="s">
        <v>138</v>
      </c>
      <c r="E21" s="2" t="s">
        <v>139</v>
      </c>
    </row>
    <row r="22" spans="1:5" ht="51" x14ac:dyDescent="0.25">
      <c r="A22" s="1" t="s">
        <v>140</v>
      </c>
      <c r="B22" s="2" t="s">
        <v>141</v>
      </c>
      <c r="C22" s="2" t="s">
        <v>142</v>
      </c>
      <c r="D22" s="2" t="s">
        <v>143</v>
      </c>
      <c r="E22" s="2" t="s">
        <v>144</v>
      </c>
    </row>
    <row r="23" spans="1:5" ht="63.75" x14ac:dyDescent="0.25">
      <c r="A23" s="1" t="s">
        <v>145</v>
      </c>
      <c r="B23" s="2" t="s">
        <v>146</v>
      </c>
      <c r="C23" s="2" t="s">
        <v>147</v>
      </c>
      <c r="D23" s="2" t="s">
        <v>148</v>
      </c>
      <c r="E23" s="2" t="s">
        <v>135</v>
      </c>
    </row>
    <row r="25" spans="1:5" x14ac:dyDescent="0.25">
      <c r="A25" s="34" t="s">
        <v>61</v>
      </c>
      <c r="B25" s="29"/>
      <c r="C25" s="29"/>
      <c r="D25" s="29"/>
      <c r="E25" s="30"/>
    </row>
    <row r="26" spans="1:5" x14ac:dyDescent="0.25">
      <c r="A26" s="8" t="s">
        <v>149</v>
      </c>
      <c r="B26" s="8" t="s">
        <v>150</v>
      </c>
      <c r="C26" s="8" t="s">
        <v>151</v>
      </c>
      <c r="D26" s="36" t="s">
        <v>152</v>
      </c>
      <c r="E26" s="30"/>
    </row>
    <row r="27" spans="1:5" ht="51" x14ac:dyDescent="0.25">
      <c r="A27" s="1" t="s">
        <v>153</v>
      </c>
      <c r="B27" s="2" t="s">
        <v>154</v>
      </c>
      <c r="C27" s="2" t="s">
        <v>155</v>
      </c>
      <c r="D27" s="32" t="s">
        <v>156</v>
      </c>
      <c r="E27" s="30"/>
    </row>
    <row r="28" spans="1:5" ht="25.5" x14ac:dyDescent="0.25">
      <c r="A28" s="1" t="s">
        <v>157</v>
      </c>
      <c r="B28" s="2" t="s">
        <v>158</v>
      </c>
      <c r="C28" s="2" t="s">
        <v>159</v>
      </c>
      <c r="D28" s="32" t="s">
        <v>160</v>
      </c>
      <c r="E28" s="30"/>
    </row>
    <row r="29" spans="1:5" ht="51" x14ac:dyDescent="0.25">
      <c r="A29" s="1" t="s">
        <v>161</v>
      </c>
      <c r="B29" s="2" t="s">
        <v>247</v>
      </c>
      <c r="C29" s="2" t="s">
        <v>162</v>
      </c>
      <c r="D29" s="32" t="s">
        <v>163</v>
      </c>
      <c r="E29" s="30"/>
    </row>
    <row r="30" spans="1:5" ht="38.25" x14ac:dyDescent="0.25">
      <c r="A30" s="1" t="s">
        <v>164</v>
      </c>
      <c r="B30" s="2" t="s">
        <v>248</v>
      </c>
      <c r="C30" s="2" t="s">
        <v>165</v>
      </c>
      <c r="D30" s="32" t="s">
        <v>166</v>
      </c>
      <c r="E30" s="30"/>
    </row>
    <row r="31" spans="1:5" ht="38.25" x14ac:dyDescent="0.25">
      <c r="A31" s="1" t="s">
        <v>167</v>
      </c>
      <c r="B31" s="2" t="s">
        <v>249</v>
      </c>
      <c r="C31" s="2" t="s">
        <v>168</v>
      </c>
      <c r="D31" s="32" t="s">
        <v>169</v>
      </c>
      <c r="E31" s="30"/>
    </row>
    <row r="32" spans="1:5" ht="51" x14ac:dyDescent="0.25">
      <c r="A32" s="1" t="s">
        <v>170</v>
      </c>
      <c r="B32" s="2" t="s">
        <v>250</v>
      </c>
      <c r="C32" s="2" t="s">
        <v>171</v>
      </c>
      <c r="D32" s="32" t="s">
        <v>172</v>
      </c>
      <c r="E32" s="30"/>
    </row>
    <row r="33" spans="1:5" ht="51" x14ac:dyDescent="0.25">
      <c r="A33" s="1" t="s">
        <v>173</v>
      </c>
      <c r="B33" s="2" t="s">
        <v>251</v>
      </c>
      <c r="C33" s="2" t="s">
        <v>174</v>
      </c>
      <c r="D33" s="32" t="s">
        <v>172</v>
      </c>
      <c r="E33" s="30"/>
    </row>
    <row r="35" spans="1:5" x14ac:dyDescent="0.25">
      <c r="A35" s="34" t="s">
        <v>175</v>
      </c>
      <c r="B35" s="29"/>
      <c r="C35" s="29"/>
      <c r="D35" s="29"/>
      <c r="E35" s="30"/>
    </row>
    <row r="36" spans="1:5" x14ac:dyDescent="0.25">
      <c r="A36" s="1">
        <v>1</v>
      </c>
      <c r="B36" s="32" t="s">
        <v>176</v>
      </c>
      <c r="C36" s="29"/>
      <c r="D36" s="29"/>
      <c r="E36" s="30"/>
    </row>
    <row r="37" spans="1:5" x14ac:dyDescent="0.25">
      <c r="A37" s="1">
        <v>2</v>
      </c>
      <c r="B37" s="32" t="s">
        <v>177</v>
      </c>
      <c r="C37" s="29"/>
      <c r="D37" s="29"/>
      <c r="E37" s="30"/>
    </row>
    <row r="38" spans="1:5" x14ac:dyDescent="0.25">
      <c r="A38" s="1">
        <v>3</v>
      </c>
      <c r="B38" s="32" t="s">
        <v>178</v>
      </c>
      <c r="C38" s="29"/>
      <c r="D38" s="29"/>
      <c r="E38" s="30"/>
    </row>
  </sheetData>
  <mergeCells count="23">
    <mergeCell ref="D26:E26"/>
    <mergeCell ref="C10:E10"/>
    <mergeCell ref="D30:E30"/>
    <mergeCell ref="D33:E33"/>
    <mergeCell ref="D29:E29"/>
    <mergeCell ref="B38:E38"/>
    <mergeCell ref="B37:E37"/>
    <mergeCell ref="A2:E3"/>
    <mergeCell ref="C9:E9"/>
    <mergeCell ref="A1:E1"/>
    <mergeCell ref="D31:E31"/>
    <mergeCell ref="B36:E36"/>
    <mergeCell ref="C11:E11"/>
    <mergeCell ref="A25:E25"/>
    <mergeCell ref="D27:E27"/>
    <mergeCell ref="C8:E8"/>
    <mergeCell ref="D32:E32"/>
    <mergeCell ref="C7:E7"/>
    <mergeCell ref="D28:E28"/>
    <mergeCell ref="A5:E5"/>
    <mergeCell ref="A14:E14"/>
    <mergeCell ref="C6:E6"/>
    <mergeCell ref="A35:E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showGridLines="0" workbookViewId="0">
      <selection sqref="A1:G1"/>
    </sheetView>
  </sheetViews>
  <sheetFormatPr defaultRowHeight="15" x14ac:dyDescent="0.25"/>
  <cols>
    <col min="1" max="1" width="10" customWidth="1"/>
    <col min="2" max="2" width="8" customWidth="1"/>
    <col min="3" max="3" width="18" customWidth="1"/>
    <col min="4" max="4" width="22" customWidth="1"/>
    <col min="5" max="5" width="16" customWidth="1"/>
    <col min="6" max="6" width="14" customWidth="1"/>
    <col min="7" max="7" width="60" customWidth="1"/>
  </cols>
  <sheetData>
    <row r="1" spans="1:7" ht="18.75" x14ac:dyDescent="0.3">
      <c r="A1" s="28" t="s">
        <v>179</v>
      </c>
      <c r="B1" s="29"/>
      <c r="C1" s="29"/>
      <c r="D1" s="29"/>
      <c r="E1" s="29"/>
      <c r="F1" s="29"/>
      <c r="G1" s="30"/>
    </row>
    <row r="2" spans="1:7" x14ac:dyDescent="0.25">
      <c r="A2" s="35" t="s">
        <v>180</v>
      </c>
      <c r="B2" s="31"/>
      <c r="C2" s="31"/>
      <c r="D2" s="31"/>
      <c r="E2" s="31"/>
      <c r="F2" s="31"/>
      <c r="G2" s="31"/>
    </row>
    <row r="3" spans="1:7" x14ac:dyDescent="0.25">
      <c r="A3" s="31"/>
      <c r="B3" s="31"/>
      <c r="C3" s="31"/>
      <c r="D3" s="31"/>
      <c r="E3" s="31"/>
      <c r="F3" s="31"/>
      <c r="G3" s="31"/>
    </row>
    <row r="4" spans="1:7" x14ac:dyDescent="0.25">
      <c r="A4" s="33" t="s">
        <v>181</v>
      </c>
      <c r="B4" s="29"/>
      <c r="C4" s="29"/>
      <c r="D4" s="29"/>
      <c r="E4" s="29"/>
      <c r="F4" s="29"/>
      <c r="G4" s="30"/>
    </row>
    <row r="6" spans="1:7" x14ac:dyDescent="0.25">
      <c r="A6" s="8" t="s">
        <v>182</v>
      </c>
      <c r="B6" s="8" t="s">
        <v>183</v>
      </c>
      <c r="C6" s="8" t="s">
        <v>184</v>
      </c>
      <c r="D6" s="8" t="s">
        <v>185</v>
      </c>
      <c r="E6" s="8" t="s">
        <v>186</v>
      </c>
      <c r="F6" s="8" t="s">
        <v>187</v>
      </c>
      <c r="G6" s="8" t="s">
        <v>188</v>
      </c>
    </row>
    <row r="7" spans="1:7" ht="15.75" x14ac:dyDescent="0.25">
      <c r="A7" s="11">
        <v>2025</v>
      </c>
      <c r="B7" s="11" t="s">
        <v>189</v>
      </c>
      <c r="C7" s="11" t="s">
        <v>190</v>
      </c>
      <c r="D7" s="11" t="s">
        <v>30</v>
      </c>
      <c r="E7" s="11" t="s">
        <v>191</v>
      </c>
      <c r="F7" s="12">
        <v>8702.6</v>
      </c>
      <c r="G7" s="10" t="s">
        <v>192</v>
      </c>
    </row>
    <row r="8" spans="1:7" x14ac:dyDescent="0.25">
      <c r="A8" s="11">
        <v>2025</v>
      </c>
      <c r="B8" s="11" t="s">
        <v>193</v>
      </c>
      <c r="C8" s="11" t="s">
        <v>190</v>
      </c>
      <c r="D8" s="11" t="s">
        <v>30</v>
      </c>
      <c r="E8" s="11" t="s">
        <v>191</v>
      </c>
      <c r="F8" s="12">
        <v>9852.3960000000006</v>
      </c>
      <c r="G8" s="11"/>
    </row>
    <row r="9" spans="1:7" x14ac:dyDescent="0.25">
      <c r="A9" s="11">
        <v>2025</v>
      </c>
      <c r="B9" s="11" t="s">
        <v>189</v>
      </c>
      <c r="C9" s="11" t="s">
        <v>194</v>
      </c>
      <c r="D9" s="11" t="s">
        <v>31</v>
      </c>
      <c r="E9" s="11" t="s">
        <v>191</v>
      </c>
      <c r="F9" s="12">
        <v>32354</v>
      </c>
      <c r="G9" s="11"/>
    </row>
    <row r="10" spans="1:7" x14ac:dyDescent="0.25">
      <c r="A10" s="11">
        <v>2025</v>
      </c>
      <c r="B10" s="11" t="s">
        <v>193</v>
      </c>
      <c r="C10" s="11" t="s">
        <v>194</v>
      </c>
      <c r="D10" s="11" t="s">
        <v>31</v>
      </c>
      <c r="E10" s="11" t="s">
        <v>191</v>
      </c>
      <c r="F10" s="12">
        <v>32922.858</v>
      </c>
      <c r="G10" s="11"/>
    </row>
    <row r="11" spans="1:7" x14ac:dyDescent="0.25">
      <c r="A11" s="11">
        <v>2025</v>
      </c>
      <c r="B11" s="11" t="s">
        <v>189</v>
      </c>
      <c r="C11" s="11" t="s">
        <v>190</v>
      </c>
      <c r="D11" s="11" t="s">
        <v>32</v>
      </c>
      <c r="E11" s="11" t="s">
        <v>191</v>
      </c>
      <c r="F11" s="12">
        <v>8259.3240000000005</v>
      </c>
      <c r="G11" s="11"/>
    </row>
    <row r="12" spans="1:7" x14ac:dyDescent="0.25">
      <c r="A12" s="11">
        <v>2025</v>
      </c>
      <c r="B12" s="11" t="s">
        <v>193</v>
      </c>
      <c r="C12" s="11" t="s">
        <v>190</v>
      </c>
      <c r="D12" s="11" t="s">
        <v>32</v>
      </c>
      <c r="E12" s="11" t="s">
        <v>191</v>
      </c>
      <c r="F12" s="12">
        <v>8333.1759999999995</v>
      </c>
      <c r="G12" s="11"/>
    </row>
    <row r="13" spans="1:7" x14ac:dyDescent="0.25">
      <c r="A13" s="11">
        <v>2025</v>
      </c>
      <c r="B13" s="11" t="s">
        <v>189</v>
      </c>
      <c r="C13" s="11" t="s">
        <v>190</v>
      </c>
      <c r="D13" s="11" t="s">
        <v>33</v>
      </c>
      <c r="E13" s="11" t="s">
        <v>191</v>
      </c>
      <c r="F13" s="12">
        <v>86968.494000000006</v>
      </c>
      <c r="G13" s="11"/>
    </row>
    <row r="14" spans="1:7" x14ac:dyDescent="0.25">
      <c r="A14" s="11">
        <v>2025</v>
      </c>
      <c r="B14" s="11" t="s">
        <v>193</v>
      </c>
      <c r="C14" s="11" t="s">
        <v>190</v>
      </c>
      <c r="D14" s="11" t="s">
        <v>33</v>
      </c>
      <c r="E14" s="11" t="s">
        <v>191</v>
      </c>
      <c r="F14" s="12">
        <v>92396.691000000006</v>
      </c>
      <c r="G14" s="11"/>
    </row>
    <row r="15" spans="1:7" x14ac:dyDescent="0.25">
      <c r="A15" s="11">
        <v>2025</v>
      </c>
      <c r="B15" s="11" t="s">
        <v>189</v>
      </c>
      <c r="C15" s="11" t="s">
        <v>194</v>
      </c>
      <c r="D15" s="11" t="s">
        <v>34</v>
      </c>
      <c r="E15" s="11" t="s">
        <v>191</v>
      </c>
      <c r="F15" s="12">
        <v>313772.47600000002</v>
      </c>
      <c r="G15" s="11"/>
    </row>
    <row r="16" spans="1:7" x14ac:dyDescent="0.25">
      <c r="A16" s="11">
        <v>2025</v>
      </c>
      <c r="B16" s="11" t="s">
        <v>193</v>
      </c>
      <c r="C16" s="11" t="s">
        <v>194</v>
      </c>
      <c r="D16" s="11" t="s">
        <v>34</v>
      </c>
      <c r="E16" s="11" t="s">
        <v>191</v>
      </c>
      <c r="F16" s="12">
        <v>331946.45899999997</v>
      </c>
      <c r="G16" s="11"/>
    </row>
    <row r="17" spans="1:7" x14ac:dyDescent="0.25">
      <c r="A17" s="11">
        <v>2025</v>
      </c>
      <c r="B17" s="11" t="s">
        <v>189</v>
      </c>
      <c r="C17" s="11" t="s">
        <v>194</v>
      </c>
      <c r="D17" s="11" t="s">
        <v>35</v>
      </c>
      <c r="E17" s="11" t="s">
        <v>191</v>
      </c>
      <c r="F17" s="12">
        <v>99921.9</v>
      </c>
      <c r="G17" s="11"/>
    </row>
    <row r="18" spans="1:7" x14ac:dyDescent="0.25">
      <c r="A18" s="11">
        <v>2025</v>
      </c>
      <c r="B18" s="11" t="s">
        <v>193</v>
      </c>
      <c r="C18" s="11" t="s">
        <v>194</v>
      </c>
      <c r="D18" s="11" t="s">
        <v>35</v>
      </c>
      <c r="E18" s="11" t="s">
        <v>191</v>
      </c>
      <c r="F18" s="12">
        <v>108388.08</v>
      </c>
      <c r="G18" s="11"/>
    </row>
    <row r="19" spans="1:7" ht="25.5" x14ac:dyDescent="0.25">
      <c r="A19" s="11">
        <v>2025</v>
      </c>
      <c r="B19" s="11" t="s">
        <v>189</v>
      </c>
      <c r="C19" s="11" t="s">
        <v>195</v>
      </c>
      <c r="D19" s="11" t="s">
        <v>36</v>
      </c>
      <c r="E19" s="11" t="s">
        <v>191</v>
      </c>
      <c r="F19" s="12">
        <v>32979.699999999997</v>
      </c>
      <c r="G19" s="11"/>
    </row>
    <row r="20" spans="1:7" ht="25.5" x14ac:dyDescent="0.25">
      <c r="A20" s="11">
        <v>2025</v>
      </c>
      <c r="B20" s="11" t="s">
        <v>193</v>
      </c>
      <c r="C20" s="11" t="s">
        <v>195</v>
      </c>
      <c r="D20" s="11" t="s">
        <v>36</v>
      </c>
      <c r="E20" s="11" t="s">
        <v>191</v>
      </c>
      <c r="F20" s="12">
        <v>34517</v>
      </c>
      <c r="G20" s="11"/>
    </row>
    <row r="21" spans="1:7" x14ac:dyDescent="0.25">
      <c r="A21" s="11">
        <v>2025</v>
      </c>
      <c r="B21" s="11" t="s">
        <v>189</v>
      </c>
      <c r="C21" s="11" t="s">
        <v>196</v>
      </c>
      <c r="D21" s="11" t="s">
        <v>37</v>
      </c>
      <c r="E21" s="11" t="s">
        <v>191</v>
      </c>
      <c r="F21" s="12">
        <v>110991.12</v>
      </c>
      <c r="G21" s="11"/>
    </row>
    <row r="22" spans="1:7" x14ac:dyDescent="0.25">
      <c r="A22" s="11">
        <v>2025</v>
      </c>
      <c r="B22" s="11" t="s">
        <v>193</v>
      </c>
      <c r="C22" s="11" t="s">
        <v>196</v>
      </c>
      <c r="D22" s="11" t="s">
        <v>37</v>
      </c>
      <c r="E22" s="11" t="s">
        <v>191</v>
      </c>
      <c r="F22" s="12">
        <v>114321.485</v>
      </c>
      <c r="G22" s="11"/>
    </row>
    <row r="23" spans="1:7" ht="25.5" x14ac:dyDescent="0.25">
      <c r="A23" s="11">
        <v>2025</v>
      </c>
      <c r="B23" s="11" t="s">
        <v>189</v>
      </c>
      <c r="C23" s="11" t="s">
        <v>195</v>
      </c>
      <c r="D23" s="11" t="s">
        <v>38</v>
      </c>
      <c r="E23" s="11" t="s">
        <v>191</v>
      </c>
      <c r="F23" s="12">
        <v>277963.473</v>
      </c>
      <c r="G23" s="11"/>
    </row>
    <row r="24" spans="1:7" ht="25.5" x14ac:dyDescent="0.25">
      <c r="A24" s="11">
        <v>2025</v>
      </c>
      <c r="B24" s="11" t="s">
        <v>193</v>
      </c>
      <c r="C24" s="11" t="s">
        <v>195</v>
      </c>
      <c r="D24" s="11" t="s">
        <v>38</v>
      </c>
      <c r="E24" s="11" t="s">
        <v>191</v>
      </c>
      <c r="F24" s="12">
        <v>315222.359</v>
      </c>
      <c r="G24" s="11"/>
    </row>
    <row r="25" spans="1:7" x14ac:dyDescent="0.25">
      <c r="A25" s="11">
        <v>2025</v>
      </c>
      <c r="B25" s="11" t="s">
        <v>189</v>
      </c>
      <c r="C25" s="11" t="s">
        <v>194</v>
      </c>
      <c r="D25" s="11" t="s">
        <v>39</v>
      </c>
      <c r="E25" s="11" t="s">
        <v>191</v>
      </c>
      <c r="F25" s="12">
        <v>142257.05799999999</v>
      </c>
      <c r="G25" s="11"/>
    </row>
    <row r="26" spans="1:7" x14ac:dyDescent="0.25">
      <c r="A26" s="11">
        <v>2025</v>
      </c>
      <c r="B26" s="11" t="s">
        <v>193</v>
      </c>
      <c r="C26" s="11" t="s">
        <v>194</v>
      </c>
      <c r="D26" s="11" t="s">
        <v>39</v>
      </c>
      <c r="E26" s="11" t="s">
        <v>191</v>
      </c>
      <c r="F26" s="12">
        <v>153547.08100000001</v>
      </c>
      <c r="G26" s="11"/>
    </row>
    <row r="27" spans="1:7" ht="25.5" x14ac:dyDescent="0.25">
      <c r="A27" s="11">
        <v>2025</v>
      </c>
      <c r="B27" s="11" t="s">
        <v>189</v>
      </c>
      <c r="C27" s="11" t="s">
        <v>195</v>
      </c>
      <c r="D27" s="11" t="s">
        <v>40</v>
      </c>
      <c r="E27" s="11" t="s">
        <v>191</v>
      </c>
      <c r="F27" s="12">
        <v>279883.75</v>
      </c>
      <c r="G27" s="11"/>
    </row>
    <row r="28" spans="1:7" ht="25.5" x14ac:dyDescent="0.25">
      <c r="A28" s="11">
        <v>2025</v>
      </c>
      <c r="B28" s="11" t="s">
        <v>193</v>
      </c>
      <c r="C28" s="11" t="s">
        <v>195</v>
      </c>
      <c r="D28" s="11" t="s">
        <v>40</v>
      </c>
      <c r="E28" s="11" t="s">
        <v>191</v>
      </c>
      <c r="F28" s="12">
        <v>318646.973</v>
      </c>
      <c r="G28" s="11"/>
    </row>
    <row r="29" spans="1:7" ht="25.5" x14ac:dyDescent="0.25">
      <c r="A29" s="11">
        <v>2025</v>
      </c>
      <c r="B29" s="11" t="s">
        <v>189</v>
      </c>
      <c r="C29" s="11" t="s">
        <v>195</v>
      </c>
      <c r="D29" s="11" t="s">
        <v>41</v>
      </c>
      <c r="E29" s="11" t="s">
        <v>191</v>
      </c>
      <c r="F29" s="12">
        <v>138348.269</v>
      </c>
      <c r="G29" s="11"/>
    </row>
    <row r="30" spans="1:7" ht="25.5" x14ac:dyDescent="0.25">
      <c r="A30" s="11">
        <v>2025</v>
      </c>
      <c r="B30" s="11" t="s">
        <v>193</v>
      </c>
      <c r="C30" s="11" t="s">
        <v>195</v>
      </c>
      <c r="D30" s="11" t="s">
        <v>41</v>
      </c>
      <c r="E30" s="11" t="s">
        <v>191</v>
      </c>
      <c r="F30" s="12">
        <v>164248.557</v>
      </c>
      <c r="G30" s="11"/>
    </row>
    <row r="31" spans="1:7" x14ac:dyDescent="0.25">
      <c r="A31" s="11">
        <v>2025</v>
      </c>
      <c r="B31" s="11" t="s">
        <v>189</v>
      </c>
      <c r="C31" s="11" t="s">
        <v>196</v>
      </c>
      <c r="D31" s="11" t="s">
        <v>42</v>
      </c>
      <c r="E31" s="11" t="s">
        <v>191</v>
      </c>
      <c r="F31" s="12">
        <v>690810.09400000004</v>
      </c>
      <c r="G31" s="11"/>
    </row>
    <row r="32" spans="1:7" x14ac:dyDescent="0.25">
      <c r="A32" s="11">
        <v>2025</v>
      </c>
      <c r="B32" s="11" t="s">
        <v>193</v>
      </c>
      <c r="C32" s="11" t="s">
        <v>196</v>
      </c>
      <c r="D32" s="11" t="s">
        <v>42</v>
      </c>
      <c r="E32" s="11" t="s">
        <v>191</v>
      </c>
      <c r="F32" s="12">
        <v>743370.16200000001</v>
      </c>
      <c r="G32" s="11"/>
    </row>
    <row r="33" spans="1:7" x14ac:dyDescent="0.25">
      <c r="A33" s="11">
        <v>2025</v>
      </c>
      <c r="B33" s="11" t="s">
        <v>189</v>
      </c>
      <c r="C33" s="11" t="s">
        <v>197</v>
      </c>
      <c r="D33" s="11" t="s">
        <v>43</v>
      </c>
      <c r="E33" s="11" t="s">
        <v>191</v>
      </c>
      <c r="F33" s="12">
        <v>518501.62099999998</v>
      </c>
      <c r="G33" s="11"/>
    </row>
    <row r="34" spans="1:7" x14ac:dyDescent="0.25">
      <c r="A34" s="11">
        <v>2025</v>
      </c>
      <c r="B34" s="11" t="s">
        <v>193</v>
      </c>
      <c r="C34" s="11" t="s">
        <v>197</v>
      </c>
      <c r="D34" s="11" t="s">
        <v>43</v>
      </c>
      <c r="E34" s="11" t="s">
        <v>191</v>
      </c>
      <c r="F34" s="12">
        <v>560914.18299999996</v>
      </c>
      <c r="G34" s="11"/>
    </row>
    <row r="35" spans="1:7" x14ac:dyDescent="0.25">
      <c r="A35" s="11">
        <v>2025</v>
      </c>
      <c r="B35" s="11" t="s">
        <v>189</v>
      </c>
      <c r="C35" s="11" t="s">
        <v>194</v>
      </c>
      <c r="D35" s="11" t="s">
        <v>44</v>
      </c>
      <c r="E35" s="11" t="s">
        <v>191</v>
      </c>
      <c r="F35" s="12">
        <v>42744.91</v>
      </c>
      <c r="G35" s="11"/>
    </row>
    <row r="36" spans="1:7" x14ac:dyDescent="0.25">
      <c r="A36" s="11">
        <v>2025</v>
      </c>
      <c r="B36" s="11" t="s">
        <v>193</v>
      </c>
      <c r="C36" s="11" t="s">
        <v>194</v>
      </c>
      <c r="D36" s="11" t="s">
        <v>44</v>
      </c>
      <c r="E36" s="11" t="s">
        <v>191</v>
      </c>
      <c r="F36" s="12">
        <v>43191.96</v>
      </c>
      <c r="G36" s="11"/>
    </row>
    <row r="37" spans="1:7" x14ac:dyDescent="0.25">
      <c r="A37" s="11">
        <v>2025</v>
      </c>
      <c r="B37" s="11" t="s">
        <v>189</v>
      </c>
      <c r="C37" s="11" t="s">
        <v>190</v>
      </c>
      <c r="D37" s="11" t="s">
        <v>45</v>
      </c>
      <c r="E37" s="11" t="s">
        <v>191</v>
      </c>
      <c r="F37" s="12">
        <v>257269.09099999999</v>
      </c>
      <c r="G37" s="11"/>
    </row>
    <row r="38" spans="1:7" x14ac:dyDescent="0.25">
      <c r="A38" s="11">
        <v>2025</v>
      </c>
      <c r="B38" s="11" t="s">
        <v>193</v>
      </c>
      <c r="C38" s="11" t="s">
        <v>190</v>
      </c>
      <c r="D38" s="11" t="s">
        <v>45</v>
      </c>
      <c r="E38" s="11" t="s">
        <v>191</v>
      </c>
      <c r="F38" s="12">
        <v>265073.15100000001</v>
      </c>
      <c r="G38" s="11"/>
    </row>
    <row r="39" spans="1:7" x14ac:dyDescent="0.25">
      <c r="A39" s="11">
        <v>2025</v>
      </c>
      <c r="B39" s="11" t="s">
        <v>189</v>
      </c>
      <c r="C39" s="11" t="s">
        <v>194</v>
      </c>
      <c r="D39" s="11" t="s">
        <v>46</v>
      </c>
      <c r="E39" s="11" t="s">
        <v>191</v>
      </c>
      <c r="F39" s="12">
        <v>129408.705</v>
      </c>
      <c r="G39" s="11"/>
    </row>
    <row r="40" spans="1:7" x14ac:dyDescent="0.25">
      <c r="A40" s="11">
        <v>2025</v>
      </c>
      <c r="B40" s="11" t="s">
        <v>193</v>
      </c>
      <c r="C40" s="11" t="s">
        <v>194</v>
      </c>
      <c r="D40" s="11" t="s">
        <v>46</v>
      </c>
      <c r="E40" s="11" t="s">
        <v>191</v>
      </c>
      <c r="F40" s="12">
        <v>136037.13</v>
      </c>
      <c r="G40" s="11"/>
    </row>
    <row r="41" spans="1:7" x14ac:dyDescent="0.25">
      <c r="A41" s="11">
        <v>2025</v>
      </c>
      <c r="B41" s="11" t="s">
        <v>189</v>
      </c>
      <c r="C41" s="11" t="s">
        <v>194</v>
      </c>
      <c r="D41" s="11" t="s">
        <v>47</v>
      </c>
      <c r="E41" s="11" t="s">
        <v>191</v>
      </c>
      <c r="F41" s="12">
        <v>58577.1</v>
      </c>
      <c r="G41" s="11"/>
    </row>
    <row r="42" spans="1:7" x14ac:dyDescent="0.25">
      <c r="A42" s="11">
        <v>2025</v>
      </c>
      <c r="B42" s="11" t="s">
        <v>193</v>
      </c>
      <c r="C42" s="11" t="s">
        <v>194</v>
      </c>
      <c r="D42" s="11" t="s">
        <v>47</v>
      </c>
      <c r="E42" s="11" t="s">
        <v>191</v>
      </c>
      <c r="F42" s="12">
        <v>62075.9</v>
      </c>
      <c r="G42" s="11"/>
    </row>
    <row r="43" spans="1:7" x14ac:dyDescent="0.25">
      <c r="A43" s="11">
        <v>2025</v>
      </c>
      <c r="B43" s="11" t="s">
        <v>189</v>
      </c>
      <c r="C43" s="11" t="s">
        <v>196</v>
      </c>
      <c r="D43" s="11" t="s">
        <v>48</v>
      </c>
      <c r="E43" s="11" t="s">
        <v>191</v>
      </c>
      <c r="F43" s="12">
        <v>204094.20300000001</v>
      </c>
      <c r="G43" s="11"/>
    </row>
    <row r="44" spans="1:7" x14ac:dyDescent="0.25">
      <c r="A44" s="11">
        <v>2025</v>
      </c>
      <c r="B44" s="11" t="s">
        <v>193</v>
      </c>
      <c r="C44" s="11" t="s">
        <v>196</v>
      </c>
      <c r="D44" s="11" t="s">
        <v>48</v>
      </c>
      <c r="E44" s="11" t="s">
        <v>191</v>
      </c>
      <c r="F44" s="12">
        <v>217004.30100000001</v>
      </c>
      <c r="G44" s="11"/>
    </row>
    <row r="45" spans="1:7" x14ac:dyDescent="0.25">
      <c r="A45" s="11">
        <v>2025</v>
      </c>
      <c r="B45" s="11" t="s">
        <v>189</v>
      </c>
      <c r="C45" s="11" t="s">
        <v>194</v>
      </c>
      <c r="D45" s="11" t="s">
        <v>49</v>
      </c>
      <c r="E45" s="11" t="s">
        <v>191</v>
      </c>
      <c r="F45" s="12">
        <v>40945.800000000003</v>
      </c>
      <c r="G45" s="11"/>
    </row>
    <row r="46" spans="1:7" x14ac:dyDescent="0.25">
      <c r="A46" s="11">
        <v>2025</v>
      </c>
      <c r="B46" s="11" t="s">
        <v>193</v>
      </c>
      <c r="C46" s="11" t="s">
        <v>194</v>
      </c>
      <c r="D46" s="11" t="s">
        <v>49</v>
      </c>
      <c r="E46" s="11" t="s">
        <v>191</v>
      </c>
      <c r="F46" s="12">
        <v>41059.5</v>
      </c>
      <c r="G46" s="11"/>
    </row>
    <row r="47" spans="1:7" x14ac:dyDescent="0.25">
      <c r="A47" s="11">
        <v>2025</v>
      </c>
      <c r="B47" s="11" t="s">
        <v>189</v>
      </c>
      <c r="C47" s="11" t="s">
        <v>197</v>
      </c>
      <c r="D47" s="11" t="s">
        <v>50</v>
      </c>
      <c r="E47" s="11" t="s">
        <v>191</v>
      </c>
      <c r="F47" s="12">
        <v>382592.15299999999</v>
      </c>
      <c r="G47" s="11"/>
    </row>
    <row r="48" spans="1:7" x14ac:dyDescent="0.25">
      <c r="A48" s="11">
        <v>2025</v>
      </c>
      <c r="B48" s="11" t="s">
        <v>193</v>
      </c>
      <c r="C48" s="11" t="s">
        <v>197</v>
      </c>
      <c r="D48" s="11" t="s">
        <v>50</v>
      </c>
      <c r="E48" s="11" t="s">
        <v>191</v>
      </c>
      <c r="F48" s="12">
        <v>328259.63299999997</v>
      </c>
      <c r="G48" s="11"/>
    </row>
    <row r="49" spans="1:7" x14ac:dyDescent="0.25">
      <c r="A49" s="11">
        <v>2025</v>
      </c>
      <c r="B49" s="11" t="s">
        <v>189</v>
      </c>
      <c r="C49" s="11" t="s">
        <v>190</v>
      </c>
      <c r="D49" s="11" t="s">
        <v>51</v>
      </c>
      <c r="E49" s="11" t="s">
        <v>191</v>
      </c>
      <c r="F49" s="12">
        <v>78747.751999999993</v>
      </c>
      <c r="G49" s="11"/>
    </row>
    <row r="50" spans="1:7" x14ac:dyDescent="0.25">
      <c r="A50" s="11">
        <v>2025</v>
      </c>
      <c r="B50" s="11" t="s">
        <v>193</v>
      </c>
      <c r="C50" s="11" t="s">
        <v>190</v>
      </c>
      <c r="D50" s="11" t="s">
        <v>51</v>
      </c>
      <c r="E50" s="11" t="s">
        <v>191</v>
      </c>
      <c r="F50" s="12">
        <v>88892.1</v>
      </c>
      <c r="G50" s="11"/>
    </row>
    <row r="51" spans="1:7" x14ac:dyDescent="0.25">
      <c r="A51" s="11">
        <v>2025</v>
      </c>
      <c r="B51" s="11" t="s">
        <v>189</v>
      </c>
      <c r="C51" s="11" t="s">
        <v>190</v>
      </c>
      <c r="D51" s="11" t="s">
        <v>52</v>
      </c>
      <c r="E51" s="11" t="s">
        <v>191</v>
      </c>
      <c r="F51" s="12">
        <v>17968.8</v>
      </c>
      <c r="G51" s="11"/>
    </row>
    <row r="52" spans="1:7" x14ac:dyDescent="0.25">
      <c r="A52" s="11">
        <v>2025</v>
      </c>
      <c r="B52" s="11" t="s">
        <v>193</v>
      </c>
      <c r="C52" s="11" t="s">
        <v>190</v>
      </c>
      <c r="D52" s="11" t="s">
        <v>52</v>
      </c>
      <c r="E52" s="11" t="s">
        <v>191</v>
      </c>
      <c r="F52" s="12">
        <v>14723.164000000001</v>
      </c>
      <c r="G52" s="11"/>
    </row>
    <row r="53" spans="1:7" x14ac:dyDescent="0.25">
      <c r="A53" s="11">
        <v>2025</v>
      </c>
      <c r="B53" s="11" t="s">
        <v>189</v>
      </c>
      <c r="C53" s="11" t="s">
        <v>197</v>
      </c>
      <c r="D53" s="11" t="s">
        <v>53</v>
      </c>
      <c r="E53" s="11" t="s">
        <v>191</v>
      </c>
      <c r="F53" s="12">
        <v>268177.47200000001</v>
      </c>
      <c r="G53" s="11"/>
    </row>
    <row r="54" spans="1:7" x14ac:dyDescent="0.25">
      <c r="A54" s="11">
        <v>2025</v>
      </c>
      <c r="B54" s="11" t="s">
        <v>193</v>
      </c>
      <c r="C54" s="11" t="s">
        <v>197</v>
      </c>
      <c r="D54" s="11" t="s">
        <v>53</v>
      </c>
      <c r="E54" s="11" t="s">
        <v>191</v>
      </c>
      <c r="F54" s="12">
        <v>273188.02</v>
      </c>
      <c r="G54" s="11"/>
    </row>
    <row r="55" spans="1:7" x14ac:dyDescent="0.25">
      <c r="A55" s="11">
        <v>2025</v>
      </c>
      <c r="B55" s="11" t="s">
        <v>189</v>
      </c>
      <c r="C55" s="11" t="s">
        <v>194</v>
      </c>
      <c r="D55" s="11" t="s">
        <v>54</v>
      </c>
      <c r="E55" s="11" t="s">
        <v>191</v>
      </c>
      <c r="F55" s="12">
        <v>35082.9</v>
      </c>
      <c r="G55" s="11"/>
    </row>
    <row r="56" spans="1:7" x14ac:dyDescent="0.25">
      <c r="A56" s="11">
        <v>2025</v>
      </c>
      <c r="B56" s="11" t="s">
        <v>193</v>
      </c>
      <c r="C56" s="11" t="s">
        <v>194</v>
      </c>
      <c r="D56" s="11" t="s">
        <v>54</v>
      </c>
      <c r="E56" s="11" t="s">
        <v>191</v>
      </c>
      <c r="F56" s="12">
        <v>36291.300000000003</v>
      </c>
      <c r="G56" s="11"/>
    </row>
    <row r="57" spans="1:7" x14ac:dyDescent="0.25">
      <c r="A57" s="11">
        <v>2025</v>
      </c>
      <c r="B57" s="11" t="s">
        <v>189</v>
      </c>
      <c r="C57" s="11" t="s">
        <v>196</v>
      </c>
      <c r="D57" s="11" t="s">
        <v>55</v>
      </c>
      <c r="E57" s="11" t="s">
        <v>191</v>
      </c>
      <c r="F57" s="12">
        <v>1121576.7960000001</v>
      </c>
      <c r="G57" s="11"/>
    </row>
    <row r="58" spans="1:7" x14ac:dyDescent="0.25">
      <c r="A58" s="11">
        <v>2025</v>
      </c>
      <c r="B58" s="11" t="s">
        <v>193</v>
      </c>
      <c r="C58" s="11" t="s">
        <v>196</v>
      </c>
      <c r="D58" s="11" t="s">
        <v>55</v>
      </c>
      <c r="E58" s="11" t="s">
        <v>191</v>
      </c>
      <c r="F58" s="12">
        <v>1255581.0789999999</v>
      </c>
      <c r="G58" s="11"/>
    </row>
    <row r="59" spans="1:7" x14ac:dyDescent="0.25">
      <c r="A59" s="11">
        <v>2025</v>
      </c>
      <c r="B59" s="11" t="s">
        <v>189</v>
      </c>
      <c r="C59" s="11" t="s">
        <v>190</v>
      </c>
      <c r="D59" s="11" t="s">
        <v>56</v>
      </c>
      <c r="E59" s="11" t="s">
        <v>191</v>
      </c>
      <c r="F59" s="12">
        <v>98135.9</v>
      </c>
      <c r="G59" s="11"/>
    </row>
    <row r="60" spans="1:7" x14ac:dyDescent="0.25">
      <c r="A60" s="11">
        <v>2025</v>
      </c>
      <c r="B60" s="11" t="s">
        <v>193</v>
      </c>
      <c r="C60" s="11" t="s">
        <v>190</v>
      </c>
      <c r="D60" s="11" t="s">
        <v>56</v>
      </c>
      <c r="E60" s="11" t="s">
        <v>191</v>
      </c>
      <c r="F60" s="12">
        <v>106271.3</v>
      </c>
      <c r="G60" s="11"/>
    </row>
  </sheetData>
  <mergeCells count="3">
    <mergeCell ref="A1:G1"/>
    <mergeCell ref="A2:G3"/>
    <mergeCell ref="A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workbookViewId="0">
      <selection sqref="A1:C1"/>
    </sheetView>
  </sheetViews>
  <sheetFormatPr defaultRowHeight="15" x14ac:dyDescent="0.25"/>
  <cols>
    <col min="1" max="1" width="28" customWidth="1"/>
    <col min="2" max="2" width="48" customWidth="1"/>
    <col min="3" max="3" width="65" customWidth="1"/>
  </cols>
  <sheetData>
    <row r="1" spans="1:3" ht="18.75" x14ac:dyDescent="0.3">
      <c r="A1" s="28" t="s">
        <v>198</v>
      </c>
      <c r="B1" s="29"/>
      <c r="C1" s="30"/>
    </row>
    <row r="2" spans="1:3" x14ac:dyDescent="0.25">
      <c r="A2" s="35" t="s">
        <v>199</v>
      </c>
      <c r="B2" s="31"/>
      <c r="C2" s="31"/>
    </row>
    <row r="3" spans="1:3" x14ac:dyDescent="0.25">
      <c r="A3" s="31"/>
      <c r="B3" s="31"/>
      <c r="C3" s="31"/>
    </row>
    <row r="5" spans="1:3" x14ac:dyDescent="0.25">
      <c r="A5" s="8" t="s">
        <v>200</v>
      </c>
      <c r="B5" s="8" t="s">
        <v>201</v>
      </c>
      <c r="C5" s="8" t="s">
        <v>188</v>
      </c>
    </row>
    <row r="6" spans="1:3" ht="25.5" x14ac:dyDescent="0.25">
      <c r="A6" s="2" t="s">
        <v>202</v>
      </c>
      <c r="B6" s="2" t="s">
        <v>203</v>
      </c>
      <c r="C6" s="10" t="s">
        <v>135</v>
      </c>
    </row>
    <row r="7" spans="1:3" ht="25.5" x14ac:dyDescent="0.25">
      <c r="A7" s="2" t="s">
        <v>204</v>
      </c>
      <c r="B7" s="2" t="s">
        <v>205</v>
      </c>
      <c r="C7" s="10" t="s">
        <v>132</v>
      </c>
    </row>
    <row r="8" spans="1:3" ht="25.5" x14ac:dyDescent="0.25">
      <c r="A8" s="2" t="s">
        <v>206</v>
      </c>
      <c r="B8" s="2" t="s">
        <v>207</v>
      </c>
      <c r="C8" s="10" t="s">
        <v>208</v>
      </c>
    </row>
    <row r="9" spans="1:3" ht="38.25" x14ac:dyDescent="0.25">
      <c r="A9" s="2" t="s">
        <v>209</v>
      </c>
      <c r="B9" s="2" t="s">
        <v>210</v>
      </c>
      <c r="C9" s="10" t="s">
        <v>128</v>
      </c>
    </row>
    <row r="10" spans="1:3" ht="25.5" x14ac:dyDescent="0.25">
      <c r="A10" s="2" t="s">
        <v>211</v>
      </c>
      <c r="B10" s="2" t="s">
        <v>212</v>
      </c>
      <c r="C10" s="10" t="s">
        <v>139</v>
      </c>
    </row>
    <row r="11" spans="1:3" ht="25.5" x14ac:dyDescent="0.25">
      <c r="A11" s="2" t="s">
        <v>213</v>
      </c>
      <c r="B11" s="2" t="s">
        <v>214</v>
      </c>
      <c r="C11" s="10" t="s">
        <v>192</v>
      </c>
    </row>
    <row r="12" spans="1:3" ht="38.25" x14ac:dyDescent="0.25">
      <c r="A12" s="2" t="s">
        <v>215</v>
      </c>
      <c r="B12" s="2" t="s">
        <v>216</v>
      </c>
      <c r="C12" s="10" t="s">
        <v>217</v>
      </c>
    </row>
    <row r="13" spans="1:3" ht="38.25" x14ac:dyDescent="0.25">
      <c r="A13" s="2" t="s">
        <v>218</v>
      </c>
      <c r="B13" s="2" t="s">
        <v>219</v>
      </c>
      <c r="C13" s="10" t="s">
        <v>144</v>
      </c>
    </row>
    <row r="14" spans="1:3" ht="38.25" x14ac:dyDescent="0.25">
      <c r="A14" s="2" t="s">
        <v>220</v>
      </c>
      <c r="B14" s="2" t="s">
        <v>221</v>
      </c>
      <c r="C14" s="10" t="s">
        <v>222</v>
      </c>
    </row>
  </sheetData>
  <mergeCells count="2">
    <mergeCell ref="A1:C1"/>
    <mergeCell ref="A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Aux_Grafico</vt:lpstr>
      <vt:lpstr>Grafico_UF</vt:lpstr>
      <vt:lpstr>UF_Resumo</vt:lpstr>
      <vt:lpstr>Metodologia</vt:lpstr>
      <vt:lpstr>Dados_ANP_UF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Araujo</cp:lastModifiedBy>
  <dcterms:created xsi:type="dcterms:W3CDTF">2026-03-20T16:42:15Z</dcterms:created>
  <dcterms:modified xsi:type="dcterms:W3CDTF">2026-03-20T20:38:59Z</dcterms:modified>
</cp:coreProperties>
</file>